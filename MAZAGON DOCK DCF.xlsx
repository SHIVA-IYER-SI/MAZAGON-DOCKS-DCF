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0948df6e4a328dfe/FINANCIAL MODELLING/EQUITY VALUATION/ON GOING/Mazagon Dock/"/>
    </mc:Choice>
  </mc:AlternateContent>
  <xr:revisionPtr revIDLastSave="0" documentId="8_{DCECB012-DECC-4C8A-8B17-EB3F4DC0914C}" xr6:coauthVersionLast="47" xr6:coauthVersionMax="47" xr10:uidLastSave="{00000000-0000-0000-0000-000000000000}"/>
  <bookViews>
    <workbookView xWindow="28680" yWindow="-1950" windowWidth="29040" windowHeight="17520" tabRatio="500" firstSheet="8" activeTab="14" xr2:uid="{00000000-000D-0000-FFFF-FFFF00000000}"/>
  </bookViews>
  <sheets>
    <sheet name="FORMATTING" sheetId="1" r:id="rId1"/>
    <sheet name="INCOME STATEMENT" sheetId="2" r:id="rId2"/>
    <sheet name="BALANCE SHEET" sheetId="3" r:id="rId3"/>
    <sheet name="CASH FLOW STATEMENT " sheetId="5" r:id="rId4"/>
    <sheet name="FORECAST SCHEDULES" sheetId="6" r:id="rId5"/>
    <sheet name="ASSUMPTIONS AND REASONING" sheetId="7" r:id="rId6"/>
    <sheet name="ORDER BOOK SCHEDULE" sheetId="8" r:id="rId7"/>
    <sheet name="FREE CASH FLOW" sheetId="4" r:id="rId8"/>
    <sheet name="WACC" sheetId="9" r:id="rId9"/>
    <sheet name="DCF" sheetId="10" r:id="rId10"/>
    <sheet name="DDM" sheetId="11" r:id="rId11"/>
    <sheet name="CCA" sheetId="12" r:id="rId12"/>
    <sheet name="SENSITIVITY ANALYSIS" sheetId="13" r:id="rId13"/>
    <sheet name="FINAL VALUATION" sheetId="14" r:id="rId14"/>
    <sheet name="KEY RATIOS"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8" i="15" l="1"/>
  <c r="K48" i="15"/>
  <c r="J48" i="15"/>
  <c r="I48" i="15"/>
  <c r="H48" i="15"/>
  <c r="G48" i="15"/>
  <c r="F48" i="15"/>
  <c r="E48" i="15"/>
  <c r="D48" i="15"/>
  <c r="C48" i="15"/>
  <c r="L47" i="15"/>
  <c r="K47" i="15"/>
  <c r="J47" i="15"/>
  <c r="I47" i="15"/>
  <c r="H47" i="15"/>
  <c r="G47" i="15"/>
  <c r="F47" i="15"/>
  <c r="E47" i="15"/>
  <c r="D47" i="15"/>
  <c r="C47" i="15"/>
  <c r="L45" i="15"/>
  <c r="F45" i="15"/>
  <c r="E45" i="15"/>
  <c r="D45" i="15"/>
  <c r="C45" i="15"/>
  <c r="D40" i="15"/>
  <c r="C40" i="15"/>
  <c r="C39" i="15"/>
  <c r="G28" i="15"/>
  <c r="F28" i="15"/>
  <c r="E28" i="15"/>
  <c r="D28" i="15"/>
  <c r="C28" i="15"/>
  <c r="D21" i="15"/>
  <c r="C21" i="15"/>
  <c r="D20" i="15"/>
  <c r="C20" i="15"/>
  <c r="D10" i="14"/>
  <c r="L55" i="12"/>
  <c r="H55" i="12"/>
  <c r="G55" i="12"/>
  <c r="F55" i="12"/>
  <c r="D55" i="12"/>
  <c r="E55" i="12" s="1"/>
  <c r="L54" i="12"/>
  <c r="J54" i="12"/>
  <c r="H54" i="12"/>
  <c r="G54" i="12"/>
  <c r="F54" i="12"/>
  <c r="E54" i="12"/>
  <c r="D54" i="12"/>
  <c r="I54" i="12" s="1"/>
  <c r="L53" i="12"/>
  <c r="K53" i="12"/>
  <c r="H53" i="12"/>
  <c r="G53" i="12"/>
  <c r="F53" i="12"/>
  <c r="E53" i="12"/>
  <c r="D53" i="12"/>
  <c r="J53" i="12" s="1"/>
  <c r="L52" i="12"/>
  <c r="L57" i="12" s="1"/>
  <c r="H52" i="12"/>
  <c r="G52" i="12"/>
  <c r="F52" i="12"/>
  <c r="D52" i="12"/>
  <c r="K52" i="12" s="1"/>
  <c r="L51" i="12"/>
  <c r="L56" i="12" s="1"/>
  <c r="H51" i="12"/>
  <c r="K51" i="12" s="1"/>
  <c r="G51" i="12"/>
  <c r="J51" i="12" s="1"/>
  <c r="F51" i="12"/>
  <c r="E51" i="12"/>
  <c r="D51" i="12"/>
  <c r="I51" i="12" s="1"/>
  <c r="Q16" i="12"/>
  <c r="P16" i="12"/>
  <c r="O16" i="12"/>
  <c r="N16" i="12"/>
  <c r="Q15" i="12"/>
  <c r="P15" i="12"/>
  <c r="O15" i="12"/>
  <c r="N15" i="12"/>
  <c r="Q14" i="12"/>
  <c r="Q17" i="12" s="1"/>
  <c r="P14" i="12"/>
  <c r="P17" i="12" s="1"/>
  <c r="O14" i="12"/>
  <c r="O17" i="12" s="1"/>
  <c r="N14" i="12"/>
  <c r="N17" i="12" s="1"/>
  <c r="Q9" i="12"/>
  <c r="P9" i="12"/>
  <c r="O9" i="12"/>
  <c r="N9" i="12"/>
  <c r="Q8" i="12"/>
  <c r="Q11" i="12" s="1"/>
  <c r="P8" i="12"/>
  <c r="P11" i="12" s="1"/>
  <c r="O8" i="12"/>
  <c r="N8" i="12"/>
  <c r="N11" i="12" s="1"/>
  <c r="E5" i="12"/>
  <c r="F5" i="12" s="1"/>
  <c r="E21" i="11"/>
  <c r="D21" i="11"/>
  <c r="E15" i="11"/>
  <c r="D15" i="11"/>
  <c r="E8" i="11"/>
  <c r="D8" i="11"/>
  <c r="K57" i="10"/>
  <c r="K50" i="10"/>
  <c r="D29" i="9"/>
  <c r="D7" i="11" s="1"/>
  <c r="D9" i="11" s="1"/>
  <c r="G13" i="8"/>
  <c r="F13" i="8"/>
  <c r="E13" i="8"/>
  <c r="D13" i="8"/>
  <c r="G12" i="8"/>
  <c r="F12" i="8"/>
  <c r="E12" i="8"/>
  <c r="D12" i="8"/>
  <c r="H5" i="8"/>
  <c r="G5" i="8"/>
  <c r="F5" i="8"/>
  <c r="E5" i="8"/>
  <c r="D5" i="8"/>
  <c r="I56" i="7"/>
  <c r="H56" i="7"/>
  <c r="G56" i="7"/>
  <c r="F56" i="7"/>
  <c r="I55" i="7"/>
  <c r="H55" i="7"/>
  <c r="G55" i="7"/>
  <c r="J55" i="7" s="1"/>
  <c r="F55" i="7"/>
  <c r="I54" i="7"/>
  <c r="H54" i="7"/>
  <c r="G54" i="7"/>
  <c r="F54" i="7"/>
  <c r="I53" i="7"/>
  <c r="H53" i="7"/>
  <c r="G53" i="7"/>
  <c r="F53" i="7"/>
  <c r="I52" i="7"/>
  <c r="H52" i="7"/>
  <c r="G52" i="7"/>
  <c r="F52" i="7"/>
  <c r="I51" i="7"/>
  <c r="H51" i="7"/>
  <c r="G51" i="7"/>
  <c r="F51" i="7"/>
  <c r="I50" i="7"/>
  <c r="H50" i="7"/>
  <c r="G50" i="7"/>
  <c r="F50" i="7"/>
  <c r="I47" i="7"/>
  <c r="H47" i="7"/>
  <c r="G47" i="7"/>
  <c r="F47" i="7"/>
  <c r="I45" i="7"/>
  <c r="H45" i="7"/>
  <c r="G45" i="7"/>
  <c r="F45" i="7"/>
  <c r="E45" i="7"/>
  <c r="I44" i="7"/>
  <c r="J44" i="7" s="1"/>
  <c r="K44" i="7" s="1"/>
  <c r="L44" i="7" s="1"/>
  <c r="M44" i="7" s="1"/>
  <c r="N44" i="7" s="1"/>
  <c r="H44" i="7"/>
  <c r="G44" i="7"/>
  <c r="F44" i="7"/>
  <c r="E44" i="7"/>
  <c r="I43" i="7"/>
  <c r="H43" i="7"/>
  <c r="G43" i="7"/>
  <c r="F43" i="7"/>
  <c r="E43" i="7"/>
  <c r="J42" i="7"/>
  <c r="K42" i="7" s="1"/>
  <c r="L42" i="7" s="1"/>
  <c r="M42" i="7" s="1"/>
  <c r="N42" i="7" s="1"/>
  <c r="I42" i="7"/>
  <c r="H42" i="7"/>
  <c r="G42" i="7"/>
  <c r="F42" i="7"/>
  <c r="E42" i="7"/>
  <c r="I41" i="7"/>
  <c r="H41" i="7"/>
  <c r="G41" i="7"/>
  <c r="J41" i="7" s="1"/>
  <c r="F41" i="7"/>
  <c r="E41" i="7"/>
  <c r="I40" i="7"/>
  <c r="H40" i="7"/>
  <c r="G40" i="7"/>
  <c r="F40" i="7"/>
  <c r="E40" i="7"/>
  <c r="I38" i="7"/>
  <c r="H38" i="7"/>
  <c r="G38" i="7"/>
  <c r="F38" i="7"/>
  <c r="E38" i="7"/>
  <c r="I37" i="7"/>
  <c r="H37" i="7"/>
  <c r="G37" i="7"/>
  <c r="J37" i="7" s="1"/>
  <c r="F37" i="7"/>
  <c r="E37" i="7"/>
  <c r="I36" i="7"/>
  <c r="J36" i="7" s="1"/>
  <c r="K36" i="7" s="1"/>
  <c r="L36" i="7" s="1"/>
  <c r="M36" i="7" s="1"/>
  <c r="N36" i="7" s="1"/>
  <c r="H36" i="7"/>
  <c r="G36" i="7"/>
  <c r="F36" i="7"/>
  <c r="E36" i="7"/>
  <c r="I35" i="7"/>
  <c r="H35" i="7"/>
  <c r="G35" i="7"/>
  <c r="F35" i="7"/>
  <c r="E35" i="7"/>
  <c r="I34" i="7"/>
  <c r="H34" i="7"/>
  <c r="G34" i="7"/>
  <c r="F34" i="7"/>
  <c r="E34" i="7"/>
  <c r="I33" i="7"/>
  <c r="H33" i="7"/>
  <c r="G33" i="7"/>
  <c r="F33" i="7"/>
  <c r="E33" i="7"/>
  <c r="I32" i="7"/>
  <c r="H32" i="7"/>
  <c r="G32" i="7"/>
  <c r="F32" i="7"/>
  <c r="E32" i="7"/>
  <c r="I29" i="7"/>
  <c r="H29" i="7"/>
  <c r="G29" i="7"/>
  <c r="J29" i="7" s="1"/>
  <c r="F29" i="7"/>
  <c r="I28" i="7"/>
  <c r="H28" i="7"/>
  <c r="G28" i="7"/>
  <c r="F28" i="7"/>
  <c r="E28" i="7"/>
  <c r="I27" i="7"/>
  <c r="H27" i="7"/>
  <c r="G27" i="7"/>
  <c r="F27" i="7"/>
  <c r="E27" i="7"/>
  <c r="I26" i="7"/>
  <c r="H26" i="7"/>
  <c r="G26" i="7"/>
  <c r="F26" i="7"/>
  <c r="E26" i="7"/>
  <c r="I24" i="7"/>
  <c r="H24" i="7"/>
  <c r="G24" i="7"/>
  <c r="F24" i="7"/>
  <c r="E24" i="7"/>
  <c r="I21" i="7"/>
  <c r="H21" i="7"/>
  <c r="G21" i="7"/>
  <c r="F21" i="7"/>
  <c r="E21" i="7"/>
  <c r="I12" i="7"/>
  <c r="H12" i="7"/>
  <c r="G12" i="7"/>
  <c r="J12" i="7" s="1"/>
  <c r="F12" i="7"/>
  <c r="E12" i="7"/>
  <c r="I11" i="7"/>
  <c r="H11" i="7"/>
  <c r="G11" i="7"/>
  <c r="J11" i="7" s="1"/>
  <c r="F11" i="7"/>
  <c r="E11" i="7"/>
  <c r="I10" i="7"/>
  <c r="H10" i="7"/>
  <c r="G10" i="7"/>
  <c r="F10" i="7"/>
  <c r="E10" i="7"/>
  <c r="J8" i="7"/>
  <c r="K8" i="7" s="1"/>
  <c r="L8" i="7" s="1"/>
  <c r="M8" i="7" s="1"/>
  <c r="N8" i="7" s="1"/>
  <c r="I8" i="7"/>
  <c r="H8" i="7"/>
  <c r="G8" i="7"/>
  <c r="F8" i="7"/>
  <c r="E8" i="7"/>
  <c r="I7" i="7"/>
  <c r="H7" i="7"/>
  <c r="G7" i="7"/>
  <c r="J7" i="7" s="1"/>
  <c r="F7" i="7"/>
  <c r="I5" i="7"/>
  <c r="H5" i="7"/>
  <c r="G5" i="7"/>
  <c r="F5" i="7"/>
  <c r="D257" i="6"/>
  <c r="H256" i="6"/>
  <c r="G256" i="6"/>
  <c r="F256" i="6"/>
  <c r="E256" i="6"/>
  <c r="H255" i="6"/>
  <c r="G255" i="6"/>
  <c r="F255" i="6"/>
  <c r="I255" i="6" s="1"/>
  <c r="E255" i="6"/>
  <c r="E253" i="6"/>
  <c r="E257" i="6" s="1"/>
  <c r="E248" i="6"/>
  <c r="H246" i="6"/>
  <c r="G246" i="6"/>
  <c r="F246" i="6"/>
  <c r="E246" i="6"/>
  <c r="H242" i="6"/>
  <c r="H243" i="6" s="1"/>
  <c r="G242" i="6"/>
  <c r="G243" i="6" s="1"/>
  <c r="I241" i="6"/>
  <c r="I240" i="6"/>
  <c r="H240" i="6"/>
  <c r="G240" i="6"/>
  <c r="F240" i="6"/>
  <c r="F242" i="6" s="1"/>
  <c r="F243" i="6" s="1"/>
  <c r="I243" i="6" s="1"/>
  <c r="E240" i="6"/>
  <c r="E242" i="6" s="1"/>
  <c r="E243" i="6" s="1"/>
  <c r="H237" i="6"/>
  <c r="H236" i="6" s="1"/>
  <c r="G237" i="6"/>
  <c r="G236" i="6" s="1"/>
  <c r="F237" i="6"/>
  <c r="F236" i="6" s="1"/>
  <c r="I236" i="6" s="1"/>
  <c r="E237" i="6"/>
  <c r="I235" i="6"/>
  <c r="H235" i="6"/>
  <c r="I234" i="6"/>
  <c r="I233" i="6"/>
  <c r="H233" i="6"/>
  <c r="G233" i="6"/>
  <c r="G235" i="6" s="1"/>
  <c r="F233" i="6"/>
  <c r="F235" i="6" s="1"/>
  <c r="E233" i="6"/>
  <c r="E235" i="6" s="1"/>
  <c r="M230" i="6"/>
  <c r="L230" i="6"/>
  <c r="K230" i="6"/>
  <c r="J230" i="6"/>
  <c r="I230" i="6"/>
  <c r="H230" i="6"/>
  <c r="G230" i="6"/>
  <c r="F230" i="6"/>
  <c r="E230" i="6"/>
  <c r="H216" i="6"/>
  <c r="G216" i="6"/>
  <c r="F216" i="6"/>
  <c r="E216" i="6"/>
  <c r="H214" i="6"/>
  <c r="G214" i="6"/>
  <c r="F214" i="6"/>
  <c r="E214" i="6"/>
  <c r="H213" i="6"/>
  <c r="G213" i="6"/>
  <c r="F213" i="6"/>
  <c r="E213" i="6"/>
  <c r="H212" i="6"/>
  <c r="G212" i="6"/>
  <c r="F212" i="6"/>
  <c r="E212" i="6"/>
  <c r="H187" i="6"/>
  <c r="G187" i="6"/>
  <c r="F187" i="6"/>
  <c r="I187" i="6" s="1"/>
  <c r="E187" i="6"/>
  <c r="E188" i="6" s="1"/>
  <c r="F186" i="6" s="1"/>
  <c r="F188" i="6" s="1"/>
  <c r="G186" i="6" s="1"/>
  <c r="G188" i="6" s="1"/>
  <c r="H186" i="6" s="1"/>
  <c r="H188" i="6" s="1"/>
  <c r="I186" i="6" s="1"/>
  <c r="H182" i="6"/>
  <c r="G182" i="6"/>
  <c r="F182" i="6"/>
  <c r="E182" i="6"/>
  <c r="E180" i="6"/>
  <c r="H177" i="6"/>
  <c r="G177" i="6"/>
  <c r="F177" i="6"/>
  <c r="E177" i="6"/>
  <c r="H170" i="6"/>
  <c r="G5" i="12" s="1"/>
  <c r="G170" i="6"/>
  <c r="F170" i="6"/>
  <c r="E170" i="6"/>
  <c r="H169" i="6"/>
  <c r="I157" i="6" s="1"/>
  <c r="G169" i="6"/>
  <c r="F169" i="6"/>
  <c r="E169" i="6"/>
  <c r="H164" i="6"/>
  <c r="G164" i="6"/>
  <c r="F164" i="6"/>
  <c r="E164" i="6"/>
  <c r="G160" i="6"/>
  <c r="I159" i="6"/>
  <c r="G159" i="6"/>
  <c r="F159" i="6"/>
  <c r="E159" i="6"/>
  <c r="H157" i="6"/>
  <c r="G157" i="6"/>
  <c r="F157" i="6"/>
  <c r="F160" i="6" s="1"/>
  <c r="E157" i="6"/>
  <c r="E160" i="6" s="1"/>
  <c r="G153" i="6"/>
  <c r="H147" i="6"/>
  <c r="G147" i="6"/>
  <c r="F147" i="6"/>
  <c r="E147" i="6"/>
  <c r="E146" i="6"/>
  <c r="H141" i="6"/>
  <c r="G141" i="6"/>
  <c r="F141" i="6"/>
  <c r="E141" i="6"/>
  <c r="D140" i="6"/>
  <c r="E137" i="6" s="1"/>
  <c r="E140" i="6" s="1"/>
  <c r="D134" i="6"/>
  <c r="H132" i="6"/>
  <c r="G132" i="6"/>
  <c r="F132" i="6"/>
  <c r="E132" i="6"/>
  <c r="H131" i="6"/>
  <c r="G131" i="6"/>
  <c r="F131" i="6"/>
  <c r="E131" i="6"/>
  <c r="E130" i="6"/>
  <c r="I123" i="6"/>
  <c r="J120" i="6" s="1"/>
  <c r="J123" i="6" s="1"/>
  <c r="K120" i="6" s="1"/>
  <c r="K123" i="6" s="1"/>
  <c r="L120" i="6" s="1"/>
  <c r="L123" i="6" s="1"/>
  <c r="M120" i="6" s="1"/>
  <c r="M123" i="6" s="1"/>
  <c r="D123" i="6"/>
  <c r="E120" i="6"/>
  <c r="E123" i="6" s="1"/>
  <c r="F120" i="6" s="1"/>
  <c r="F123" i="6" s="1"/>
  <c r="G120" i="6" s="1"/>
  <c r="G123" i="6" s="1"/>
  <c r="H120" i="6" s="1"/>
  <c r="H123" i="6" s="1"/>
  <c r="I120" i="6" s="1"/>
  <c r="D116" i="6"/>
  <c r="E110" i="6" s="1"/>
  <c r="H114" i="6"/>
  <c r="G114" i="6"/>
  <c r="F114" i="6"/>
  <c r="E114" i="6"/>
  <c r="F113" i="6"/>
  <c r="H112" i="6"/>
  <c r="G112" i="6"/>
  <c r="F112" i="6"/>
  <c r="E112" i="6"/>
  <c r="E113" i="6" s="1"/>
  <c r="D104" i="6"/>
  <c r="E102" i="6" s="1"/>
  <c r="E104" i="6" s="1"/>
  <c r="H103" i="6"/>
  <c r="G103" i="6"/>
  <c r="F103" i="6"/>
  <c r="E103" i="6"/>
  <c r="H99" i="6"/>
  <c r="G99" i="6"/>
  <c r="F99" i="6"/>
  <c r="F98" i="6" s="1"/>
  <c r="E99" i="6"/>
  <c r="D99" i="6"/>
  <c r="F97" i="6"/>
  <c r="E97" i="6"/>
  <c r="E98" i="6" s="1"/>
  <c r="G90" i="6"/>
  <c r="G89" i="6"/>
  <c r="H88" i="6"/>
  <c r="G88" i="6"/>
  <c r="F88" i="6"/>
  <c r="E88" i="6"/>
  <c r="H87" i="6"/>
  <c r="H89" i="6" s="1"/>
  <c r="H90" i="6" s="1"/>
  <c r="I90" i="6" s="1"/>
  <c r="G87" i="6"/>
  <c r="F87" i="6"/>
  <c r="E87" i="6"/>
  <c r="E89" i="6" s="1"/>
  <c r="H83" i="6"/>
  <c r="G83" i="6"/>
  <c r="F83" i="6"/>
  <c r="F84" i="6" s="1"/>
  <c r="E83" i="6"/>
  <c r="H82" i="6"/>
  <c r="H84" i="6" s="1"/>
  <c r="H85" i="6" s="1"/>
  <c r="I85" i="6" s="1"/>
  <c r="G82" i="6"/>
  <c r="G84" i="6" s="1"/>
  <c r="G85" i="6" s="1"/>
  <c r="F82" i="6"/>
  <c r="E82" i="6"/>
  <c r="E84" i="6" s="1"/>
  <c r="E85" i="6" s="1"/>
  <c r="H77" i="6"/>
  <c r="G77" i="6"/>
  <c r="F77" i="6"/>
  <c r="E77" i="6"/>
  <c r="H75" i="6"/>
  <c r="G75" i="6"/>
  <c r="F75" i="6"/>
  <c r="E75" i="6"/>
  <c r="H74" i="6"/>
  <c r="G74" i="6"/>
  <c r="F74" i="6"/>
  <c r="E74" i="6"/>
  <c r="G69" i="6"/>
  <c r="H68" i="6"/>
  <c r="G68" i="6"/>
  <c r="F68" i="6"/>
  <c r="F69" i="6" s="1"/>
  <c r="E68" i="6"/>
  <c r="E69" i="6" s="1"/>
  <c r="H67" i="6"/>
  <c r="H69" i="6" s="1"/>
  <c r="G67" i="6"/>
  <c r="F67" i="6"/>
  <c r="E67" i="6"/>
  <c r="H64" i="6"/>
  <c r="G64" i="6"/>
  <c r="F64" i="6"/>
  <c r="E64" i="6"/>
  <c r="H63" i="6"/>
  <c r="G63" i="6"/>
  <c r="F63" i="6"/>
  <c r="E63" i="6"/>
  <c r="H58" i="6"/>
  <c r="H57" i="6"/>
  <c r="I53" i="6" s="1"/>
  <c r="I57" i="6" s="1"/>
  <c r="H55" i="6"/>
  <c r="G55" i="6"/>
  <c r="F55" i="6"/>
  <c r="E55" i="6"/>
  <c r="E57" i="6" s="1"/>
  <c r="E58" i="6" s="1"/>
  <c r="M54" i="6"/>
  <c r="L54" i="6"/>
  <c r="K54" i="6"/>
  <c r="J54" i="6"/>
  <c r="I54" i="6"/>
  <c r="H53" i="6"/>
  <c r="G53" i="6"/>
  <c r="G57" i="6" s="1"/>
  <c r="G58" i="6" s="1"/>
  <c r="F53" i="6"/>
  <c r="F57" i="6" s="1"/>
  <c r="F58" i="6" s="1"/>
  <c r="H50" i="6"/>
  <c r="G50" i="6"/>
  <c r="F50" i="6"/>
  <c r="E50" i="6"/>
  <c r="H49" i="6"/>
  <c r="G49" i="6"/>
  <c r="F49" i="6"/>
  <c r="E49" i="6"/>
  <c r="H45" i="6"/>
  <c r="G45" i="6"/>
  <c r="F45" i="6"/>
  <c r="E45" i="6"/>
  <c r="H44" i="6"/>
  <c r="G44" i="6"/>
  <c r="F44" i="6"/>
  <c r="E44" i="6"/>
  <c r="E47" i="6" s="1"/>
  <c r="E42" i="6"/>
  <c r="H38" i="6"/>
  <c r="G38" i="6"/>
  <c r="G32" i="6"/>
  <c r="G33" i="6" s="1"/>
  <c r="I31" i="6"/>
  <c r="H30" i="6"/>
  <c r="G30" i="6"/>
  <c r="F30" i="6"/>
  <c r="F38" i="6" s="1"/>
  <c r="E30" i="6"/>
  <c r="E38" i="6" s="1"/>
  <c r="H29" i="6"/>
  <c r="H32" i="6" s="1"/>
  <c r="G29" i="6"/>
  <c r="F29" i="6"/>
  <c r="F32" i="6" s="1"/>
  <c r="F33" i="6" s="1"/>
  <c r="E29" i="6"/>
  <c r="D21" i="6"/>
  <c r="E24" i="6" s="1"/>
  <c r="M19" i="6"/>
  <c r="L19" i="6"/>
  <c r="K19" i="6"/>
  <c r="J19" i="6"/>
  <c r="I19" i="6"/>
  <c r="E14" i="6"/>
  <c r="F9" i="6" s="1"/>
  <c r="F14" i="6" s="1"/>
  <c r="K13" i="6"/>
  <c r="K31" i="6" s="1"/>
  <c r="J13" i="6"/>
  <c r="J31" i="6" s="1"/>
  <c r="I13" i="6"/>
  <c r="H7" i="6"/>
  <c r="G7" i="6"/>
  <c r="H6" i="6"/>
  <c r="G6" i="6"/>
  <c r="F6" i="6"/>
  <c r="E6" i="6"/>
  <c r="H5" i="6"/>
  <c r="G5" i="6"/>
  <c r="F5" i="6"/>
  <c r="F7" i="6" s="1"/>
  <c r="E5" i="6"/>
  <c r="E7" i="6" s="1"/>
  <c r="C54" i="5"/>
  <c r="D52" i="5"/>
  <c r="G48" i="5"/>
  <c r="F48" i="5"/>
  <c r="E48" i="5"/>
  <c r="D48" i="5"/>
  <c r="L47" i="5"/>
  <c r="K47" i="5"/>
  <c r="J47" i="5"/>
  <c r="I47" i="5"/>
  <c r="H47" i="5"/>
  <c r="L41" i="5"/>
  <c r="K41" i="5"/>
  <c r="J41" i="5"/>
  <c r="I41" i="5"/>
  <c r="H41" i="5"/>
  <c r="G40" i="5"/>
  <c r="F40" i="5"/>
  <c r="E40" i="5"/>
  <c r="D40" i="5"/>
  <c r="G39" i="5"/>
  <c r="H148" i="6" s="1"/>
  <c r="H153" i="6" s="1"/>
  <c r="F39" i="5"/>
  <c r="G148" i="6" s="1"/>
  <c r="E39" i="5"/>
  <c r="F148" i="6" s="1"/>
  <c r="D39" i="5"/>
  <c r="E148" i="6" s="1"/>
  <c r="G38" i="5"/>
  <c r="H225" i="6" s="1"/>
  <c r="F38" i="5"/>
  <c r="G225" i="6" s="1"/>
  <c r="E38" i="5"/>
  <c r="F225" i="6" s="1"/>
  <c r="D38" i="5"/>
  <c r="E225" i="6" s="1"/>
  <c r="G37" i="5"/>
  <c r="F37" i="5"/>
  <c r="E37" i="5"/>
  <c r="D37" i="5"/>
  <c r="H36" i="5"/>
  <c r="G35" i="5"/>
  <c r="G42" i="5" s="1"/>
  <c r="F35" i="5"/>
  <c r="G163" i="6" s="1"/>
  <c r="E35" i="5"/>
  <c r="D35" i="5"/>
  <c r="E163" i="6" s="1"/>
  <c r="L34" i="5"/>
  <c r="K34" i="5"/>
  <c r="J34" i="5"/>
  <c r="I34" i="5"/>
  <c r="H34" i="5"/>
  <c r="G26" i="5"/>
  <c r="F26" i="5"/>
  <c r="E26" i="5"/>
  <c r="D26" i="5"/>
  <c r="G24" i="5"/>
  <c r="F24" i="5"/>
  <c r="E24" i="5"/>
  <c r="D24" i="5"/>
  <c r="G23" i="5"/>
  <c r="F23" i="5"/>
  <c r="E23" i="5"/>
  <c r="D23" i="5"/>
  <c r="D22" i="5"/>
  <c r="L18" i="5"/>
  <c r="K18" i="5"/>
  <c r="J18" i="5"/>
  <c r="I18" i="5"/>
  <c r="H18" i="5"/>
  <c r="L16" i="5"/>
  <c r="K16" i="5"/>
  <c r="J16" i="5"/>
  <c r="I16" i="5"/>
  <c r="H16" i="5"/>
  <c r="L15" i="5"/>
  <c r="K15" i="5"/>
  <c r="J15" i="5"/>
  <c r="I15" i="5"/>
  <c r="H15" i="5"/>
  <c r="K14" i="5"/>
  <c r="J14" i="5"/>
  <c r="G14" i="5"/>
  <c r="F14" i="5"/>
  <c r="E14" i="5"/>
  <c r="D14" i="5"/>
  <c r="L10" i="5"/>
  <c r="K10" i="5"/>
  <c r="J10" i="5"/>
  <c r="I10" i="5"/>
  <c r="H10" i="5"/>
  <c r="L9" i="5"/>
  <c r="K9" i="5"/>
  <c r="J9" i="5"/>
  <c r="I9" i="5"/>
  <c r="H9" i="5"/>
  <c r="E8" i="5"/>
  <c r="D7" i="5"/>
  <c r="C76" i="3"/>
  <c r="F72" i="3"/>
  <c r="F19" i="15" s="1"/>
  <c r="D72" i="3"/>
  <c r="D19" i="15" s="1"/>
  <c r="C72" i="3"/>
  <c r="C19" i="15" s="1"/>
  <c r="G70" i="3"/>
  <c r="G72" i="3" s="1"/>
  <c r="G19" i="15" s="1"/>
  <c r="F70" i="3"/>
  <c r="E70" i="3"/>
  <c r="D70" i="3"/>
  <c r="C70" i="3"/>
  <c r="G58" i="3"/>
  <c r="E58" i="3"/>
  <c r="C58" i="3"/>
  <c r="C74" i="3" s="1"/>
  <c r="L57" i="3"/>
  <c r="K57" i="3"/>
  <c r="J57" i="3"/>
  <c r="I57" i="3"/>
  <c r="H57" i="3"/>
  <c r="G55" i="3"/>
  <c r="F55" i="3"/>
  <c r="E55" i="3"/>
  <c r="D55" i="3"/>
  <c r="C55" i="3"/>
  <c r="L54" i="3"/>
  <c r="K54" i="3"/>
  <c r="J54" i="3"/>
  <c r="I54" i="3"/>
  <c r="H54" i="3"/>
  <c r="L51" i="3"/>
  <c r="K51" i="3"/>
  <c r="J51" i="3"/>
  <c r="I51" i="3"/>
  <c r="H51" i="3"/>
  <c r="L50" i="3"/>
  <c r="K50" i="3"/>
  <c r="J50" i="3"/>
  <c r="I50" i="3"/>
  <c r="H50" i="3"/>
  <c r="L49" i="3"/>
  <c r="K49" i="3"/>
  <c r="J49" i="3"/>
  <c r="I49" i="3"/>
  <c r="H49" i="3"/>
  <c r="G45" i="3"/>
  <c r="F45" i="3"/>
  <c r="E45" i="3"/>
  <c r="D45" i="3"/>
  <c r="C45" i="3"/>
  <c r="G36" i="3"/>
  <c r="D36" i="3"/>
  <c r="C36" i="3"/>
  <c r="L34" i="3"/>
  <c r="K34" i="3"/>
  <c r="J34" i="3"/>
  <c r="I34" i="3"/>
  <c r="H34" i="3"/>
  <c r="L33" i="3"/>
  <c r="K33" i="3"/>
  <c r="J33" i="3"/>
  <c r="I33" i="3"/>
  <c r="H33" i="3"/>
  <c r="L31" i="3"/>
  <c r="K31" i="3"/>
  <c r="J31" i="3"/>
  <c r="I31" i="3"/>
  <c r="H31" i="3"/>
  <c r="G26" i="3"/>
  <c r="F26" i="3"/>
  <c r="E26" i="3"/>
  <c r="D26" i="3"/>
  <c r="C26" i="3"/>
  <c r="C26" i="15" s="1"/>
  <c r="F20" i="3"/>
  <c r="H19" i="3"/>
  <c r="L15" i="3"/>
  <c r="K15" i="3"/>
  <c r="J15" i="3"/>
  <c r="I15" i="3"/>
  <c r="H15" i="3"/>
  <c r="L14" i="3"/>
  <c r="K14" i="3"/>
  <c r="J14" i="3"/>
  <c r="I14" i="3"/>
  <c r="H14" i="3"/>
  <c r="L13" i="3"/>
  <c r="K13" i="3"/>
  <c r="J13" i="3"/>
  <c r="I13" i="3"/>
  <c r="H13" i="3"/>
  <c r="L11" i="3"/>
  <c r="K11" i="3"/>
  <c r="J11" i="3"/>
  <c r="I11" i="3"/>
  <c r="H11" i="3"/>
  <c r="L10" i="3"/>
  <c r="K10" i="3"/>
  <c r="J10" i="3"/>
  <c r="I10" i="3"/>
  <c r="H10" i="3"/>
  <c r="G7" i="3"/>
  <c r="G20" i="3" s="1"/>
  <c r="F7" i="3"/>
  <c r="E7" i="3"/>
  <c r="E20" i="3" s="1"/>
  <c r="D7" i="3"/>
  <c r="D20" i="3" s="1"/>
  <c r="D38" i="3" s="1"/>
  <c r="C7" i="3"/>
  <c r="C20" i="3" s="1"/>
  <c r="C38" i="3" s="1"/>
  <c r="H99" i="2"/>
  <c r="H97" i="2"/>
  <c r="I114" i="6" s="1"/>
  <c r="G95" i="2"/>
  <c r="F95" i="2"/>
  <c r="E95" i="2"/>
  <c r="D95" i="2"/>
  <c r="C95" i="2"/>
  <c r="H94" i="2"/>
  <c r="I94" i="2" s="1"/>
  <c r="J94" i="2" s="1"/>
  <c r="K94" i="2" s="1"/>
  <c r="L94" i="2" s="1"/>
  <c r="G91" i="2"/>
  <c r="F91" i="2"/>
  <c r="E91" i="2"/>
  <c r="D91" i="2"/>
  <c r="G82" i="2"/>
  <c r="F82" i="2"/>
  <c r="E82" i="2"/>
  <c r="D82" i="2"/>
  <c r="G77" i="2"/>
  <c r="H198" i="6" s="1"/>
  <c r="F77" i="2"/>
  <c r="G198" i="6" s="1"/>
  <c r="E77" i="2"/>
  <c r="F198" i="6" s="1"/>
  <c r="D77" i="2"/>
  <c r="C77" i="2"/>
  <c r="G76" i="2"/>
  <c r="H203" i="6" s="1"/>
  <c r="F76" i="2"/>
  <c r="G203" i="6" s="1"/>
  <c r="G40" i="15" s="1"/>
  <c r="E76" i="2"/>
  <c r="F203" i="6" s="1"/>
  <c r="F40" i="15" s="1"/>
  <c r="D76" i="2"/>
  <c r="E203" i="6" s="1"/>
  <c r="E40" i="15" s="1"/>
  <c r="C76" i="2"/>
  <c r="G75" i="2"/>
  <c r="H201" i="6" s="1"/>
  <c r="F75" i="2"/>
  <c r="G201" i="6" s="1"/>
  <c r="E75" i="2"/>
  <c r="F201" i="6" s="1"/>
  <c r="D75" i="2"/>
  <c r="E201" i="6" s="1"/>
  <c r="C75" i="2"/>
  <c r="L69" i="2"/>
  <c r="K69" i="2"/>
  <c r="J69" i="2"/>
  <c r="I69" i="2"/>
  <c r="H69" i="2"/>
  <c r="G69" i="2"/>
  <c r="F69" i="2"/>
  <c r="E69" i="2"/>
  <c r="D69" i="2"/>
  <c r="K62" i="2"/>
  <c r="G58" i="2"/>
  <c r="H210" i="6" s="1"/>
  <c r="F58" i="2"/>
  <c r="G210" i="6" s="1"/>
  <c r="E58" i="2"/>
  <c r="D58" i="2"/>
  <c r="E210" i="6" s="1"/>
  <c r="C58" i="2"/>
  <c r="L52" i="2"/>
  <c r="K52" i="2"/>
  <c r="J52" i="2"/>
  <c r="I52" i="2"/>
  <c r="H52" i="2"/>
  <c r="L51" i="2"/>
  <c r="K51" i="2"/>
  <c r="J51" i="2"/>
  <c r="I51" i="2"/>
  <c r="H51" i="2"/>
  <c r="L50" i="2"/>
  <c r="L13" i="5" s="1"/>
  <c r="K50" i="2"/>
  <c r="K13" i="5" s="1"/>
  <c r="J50" i="2"/>
  <c r="J13" i="5" s="1"/>
  <c r="I50" i="2"/>
  <c r="I13" i="5" s="1"/>
  <c r="H50" i="2"/>
  <c r="H13" i="5" s="1"/>
  <c r="L46" i="2"/>
  <c r="K46" i="2"/>
  <c r="J46" i="2"/>
  <c r="I46" i="2"/>
  <c r="H46" i="2"/>
  <c r="L45" i="2"/>
  <c r="K45" i="2"/>
  <c r="K39" i="5" s="1"/>
  <c r="L148" i="6" s="1"/>
  <c r="L153" i="6" s="1"/>
  <c r="J45" i="2"/>
  <c r="J39" i="5" s="1"/>
  <c r="K148" i="6" s="1"/>
  <c r="K153" i="6" s="1"/>
  <c r="I45" i="2"/>
  <c r="H45" i="2"/>
  <c r="H14" i="5" s="1"/>
  <c r="G42" i="2"/>
  <c r="F42" i="2"/>
  <c r="E42" i="2"/>
  <c r="D42" i="2"/>
  <c r="C42" i="2"/>
  <c r="L38" i="2"/>
  <c r="K38" i="2"/>
  <c r="J38" i="2"/>
  <c r="J46" i="5" s="1"/>
  <c r="I38" i="2"/>
  <c r="H38" i="2"/>
  <c r="H46" i="5" s="1"/>
  <c r="G34" i="2"/>
  <c r="G7" i="4" s="1"/>
  <c r="F34" i="2"/>
  <c r="E34" i="2"/>
  <c r="D34" i="2"/>
  <c r="H33" i="2"/>
  <c r="L32" i="2"/>
  <c r="K32" i="2"/>
  <c r="J32" i="2"/>
  <c r="I32" i="2"/>
  <c r="H32" i="2"/>
  <c r="G27" i="2"/>
  <c r="E27" i="2"/>
  <c r="G46" i="7" s="1"/>
  <c r="D27" i="2"/>
  <c r="F46" i="7" s="1"/>
  <c r="I26" i="2"/>
  <c r="H26" i="2"/>
  <c r="G21" i="2"/>
  <c r="F21" i="2"/>
  <c r="E21" i="2"/>
  <c r="D21" i="2"/>
  <c r="C21" i="2"/>
  <c r="E13" i="7" s="1"/>
  <c r="H13" i="2"/>
  <c r="E10" i="2"/>
  <c r="G9" i="2"/>
  <c r="F9" i="2"/>
  <c r="E9" i="2"/>
  <c r="D9" i="2"/>
  <c r="D23" i="4" s="1"/>
  <c r="C9" i="2"/>
  <c r="L7" i="2"/>
  <c r="K7" i="2"/>
  <c r="J7" i="2"/>
  <c r="I7" i="2"/>
  <c r="H7" i="2"/>
  <c r="L6" i="2"/>
  <c r="K6" i="2"/>
  <c r="J6" i="2"/>
  <c r="I6" i="2"/>
  <c r="H6" i="2"/>
  <c r="H5" i="2"/>
  <c r="L4" i="2"/>
  <c r="K4" i="2"/>
  <c r="J4" i="2"/>
  <c r="I4" i="2"/>
  <c r="H4" i="2"/>
  <c r="H3" i="2"/>
  <c r="E29" i="4"/>
  <c r="D29" i="4"/>
  <c r="C29" i="4"/>
  <c r="E28" i="4"/>
  <c r="D28" i="4"/>
  <c r="C28" i="4"/>
  <c r="G23" i="4"/>
  <c r="C23" i="4"/>
  <c r="C16" i="4"/>
  <c r="G15" i="4"/>
  <c r="F15" i="4"/>
  <c r="E15" i="4"/>
  <c r="D15" i="4"/>
  <c r="G14" i="4"/>
  <c r="F14" i="4"/>
  <c r="E14" i="4"/>
  <c r="D14" i="4"/>
  <c r="G13" i="4"/>
  <c r="F13" i="4"/>
  <c r="E13" i="4"/>
  <c r="D13" i="4"/>
  <c r="G12" i="4"/>
  <c r="F12" i="4"/>
  <c r="D12" i="4"/>
  <c r="G11" i="4"/>
  <c r="F11" i="4"/>
  <c r="E11" i="4"/>
  <c r="D11" i="4"/>
  <c r="D16" i="4" s="1"/>
  <c r="G8" i="4"/>
  <c r="G29" i="4" s="1"/>
  <c r="F8" i="4"/>
  <c r="F29" i="4" s="1"/>
  <c r="E8" i="4"/>
  <c r="D8" i="4"/>
  <c r="C8" i="4"/>
  <c r="D7" i="4"/>
  <c r="C7" i="4"/>
  <c r="C18" i="15" l="1"/>
  <c r="C17" i="15"/>
  <c r="F7" i="5"/>
  <c r="F7" i="4"/>
  <c r="I58" i="6"/>
  <c r="J53" i="6"/>
  <c r="J57" i="6" s="1"/>
  <c r="H6" i="3"/>
  <c r="C35" i="15"/>
  <c r="C78" i="3"/>
  <c r="G16" i="4"/>
  <c r="I256" i="6"/>
  <c r="H12" i="2"/>
  <c r="I3" i="2"/>
  <c r="F16" i="4"/>
  <c r="I46" i="7"/>
  <c r="G29" i="2"/>
  <c r="F28" i="4"/>
  <c r="I46" i="5"/>
  <c r="G8" i="5"/>
  <c r="E29" i="2"/>
  <c r="J46" i="7"/>
  <c r="F6" i="15"/>
  <c r="F46" i="15"/>
  <c r="F49" i="15"/>
  <c r="F27" i="15"/>
  <c r="H20" i="7"/>
  <c r="H25" i="7"/>
  <c r="H22" i="7"/>
  <c r="F10" i="2"/>
  <c r="G62" i="6"/>
  <c r="F23" i="4"/>
  <c r="F29" i="2"/>
  <c r="G10" i="2"/>
  <c r="E198" i="6"/>
  <c r="K68" i="6"/>
  <c r="E26" i="15"/>
  <c r="E25" i="15"/>
  <c r="F73" i="6"/>
  <c r="F22" i="5"/>
  <c r="E22" i="5"/>
  <c r="E36" i="3"/>
  <c r="D25" i="5"/>
  <c r="D58" i="3"/>
  <c r="D74" i="3" s="1"/>
  <c r="E25" i="5"/>
  <c r="E26" i="6"/>
  <c r="E27" i="6" s="1"/>
  <c r="G28" i="4"/>
  <c r="K46" i="5"/>
  <c r="L39" i="5"/>
  <c r="M148" i="6" s="1"/>
  <c r="L14" i="5"/>
  <c r="F210" i="6"/>
  <c r="L68" i="6"/>
  <c r="G18" i="15"/>
  <c r="G17" i="15"/>
  <c r="J90" i="6"/>
  <c r="L46" i="5"/>
  <c r="G15" i="7"/>
  <c r="G14" i="7"/>
  <c r="G13" i="7"/>
  <c r="G19" i="7"/>
  <c r="G18" i="7"/>
  <c r="J18" i="7" s="1"/>
  <c r="G17" i="7"/>
  <c r="G16" i="7"/>
  <c r="D35" i="15"/>
  <c r="G7" i="5"/>
  <c r="H39" i="5"/>
  <c r="I148" i="6" s="1"/>
  <c r="F15" i="6"/>
  <c r="C49" i="15"/>
  <c r="C27" i="15"/>
  <c r="C29" i="15" s="1"/>
  <c r="C46" i="15"/>
  <c r="E22" i="7"/>
  <c r="E20" i="7"/>
  <c r="E25" i="7"/>
  <c r="H14" i="7"/>
  <c r="H13" i="7"/>
  <c r="H19" i="7"/>
  <c r="H18" i="7"/>
  <c r="K18" i="7" s="1"/>
  <c r="H17" i="7"/>
  <c r="H16" i="7"/>
  <c r="H15" i="7"/>
  <c r="F27" i="2"/>
  <c r="H46" i="7" s="1"/>
  <c r="D49" i="15"/>
  <c r="D27" i="15"/>
  <c r="D24" i="15"/>
  <c r="D6" i="15"/>
  <c r="D46" i="15"/>
  <c r="F20" i="7"/>
  <c r="F25" i="7"/>
  <c r="E62" i="6"/>
  <c r="F22" i="7"/>
  <c r="D29" i="2"/>
  <c r="I13" i="7"/>
  <c r="I19" i="7"/>
  <c r="I18" i="7"/>
  <c r="I17" i="7"/>
  <c r="I16" i="7"/>
  <c r="I15" i="7"/>
  <c r="I14" i="7"/>
  <c r="C27" i="2"/>
  <c r="E46" i="7" s="1"/>
  <c r="I99" i="2"/>
  <c r="F42" i="15"/>
  <c r="F32" i="15"/>
  <c r="E74" i="3"/>
  <c r="E76" i="3" s="1"/>
  <c r="E12" i="4"/>
  <c r="E16" i="4" s="1"/>
  <c r="E6" i="15"/>
  <c r="E46" i="15"/>
  <c r="E49" i="15"/>
  <c r="E27" i="15"/>
  <c r="G20" i="7"/>
  <c r="G25" i="7"/>
  <c r="J25" i="7" s="1"/>
  <c r="G22" i="7"/>
  <c r="J22" i="7" s="1"/>
  <c r="F62" i="6"/>
  <c r="E23" i="4"/>
  <c r="D10" i="2"/>
  <c r="E7" i="4"/>
  <c r="E7" i="5"/>
  <c r="F8" i="5"/>
  <c r="G38" i="3"/>
  <c r="G42" i="15"/>
  <c r="G32" i="15"/>
  <c r="M5" i="12"/>
  <c r="Q5" i="12" s="1"/>
  <c r="E72" i="3"/>
  <c r="E19" i="15" s="1"/>
  <c r="I14" i="5"/>
  <c r="I39" i="5"/>
  <c r="J148" i="6" s="1"/>
  <c r="H40" i="15"/>
  <c r="F26" i="15"/>
  <c r="F29" i="15" s="1"/>
  <c r="F25" i="15"/>
  <c r="G73" i="6"/>
  <c r="G78" i="6" s="1"/>
  <c r="G22" i="5"/>
  <c r="D18" i="15"/>
  <c r="D17" i="15"/>
  <c r="C42" i="15"/>
  <c r="C32" i="15"/>
  <c r="G74" i="3"/>
  <c r="G76" i="3" s="1"/>
  <c r="D42" i="5"/>
  <c r="E51" i="6"/>
  <c r="F42" i="6"/>
  <c r="H76" i="6"/>
  <c r="E105" i="6"/>
  <c r="F102" i="6"/>
  <c r="F104" i="6" s="1"/>
  <c r="J61" i="2"/>
  <c r="I68" i="6"/>
  <c r="G25" i="15"/>
  <c r="G26" i="15"/>
  <c r="H73" i="6"/>
  <c r="D42" i="15"/>
  <c r="D32" i="15"/>
  <c r="D76" i="3"/>
  <c r="D78" i="3" s="1"/>
  <c r="F58" i="3"/>
  <c r="F74" i="3" s="1"/>
  <c r="F76" i="3" s="1"/>
  <c r="F25" i="5"/>
  <c r="E70" i="6"/>
  <c r="K61" i="2"/>
  <c r="J68" i="6"/>
  <c r="F36" i="3"/>
  <c r="F38" i="3" s="1"/>
  <c r="G25" i="5"/>
  <c r="E15" i="6"/>
  <c r="F35" i="6"/>
  <c r="F36" i="6" s="1"/>
  <c r="G9" i="6"/>
  <c r="G14" i="6" s="1"/>
  <c r="G15" i="6" s="1"/>
  <c r="F70" i="6"/>
  <c r="E90" i="6"/>
  <c r="E116" i="6"/>
  <c r="J85" i="6"/>
  <c r="G113" i="6"/>
  <c r="M68" i="6"/>
  <c r="G70" i="6"/>
  <c r="I5" i="12"/>
  <c r="F50" i="12" s="1"/>
  <c r="G6" i="15"/>
  <c r="G27" i="15"/>
  <c r="I20" i="7"/>
  <c r="I25" i="7"/>
  <c r="I22" i="7"/>
  <c r="H62" i="6"/>
  <c r="H70" i="6" s="1"/>
  <c r="F16" i="7"/>
  <c r="F15" i="7"/>
  <c r="F14" i="7"/>
  <c r="F13" i="7"/>
  <c r="F19" i="7"/>
  <c r="F18" i="7"/>
  <c r="F17" i="7"/>
  <c r="J62" i="2"/>
  <c r="D26" i="15"/>
  <c r="D25" i="15"/>
  <c r="E73" i="6"/>
  <c r="D8" i="5"/>
  <c r="I29" i="6"/>
  <c r="H33" i="6"/>
  <c r="F85" i="6"/>
  <c r="G158" i="6"/>
  <c r="E25" i="6"/>
  <c r="H163" i="6"/>
  <c r="I188" i="6"/>
  <c r="J186" i="6" s="1"/>
  <c r="J188" i="6" s="1"/>
  <c r="K186" i="6" s="1"/>
  <c r="K37" i="7"/>
  <c r="M37" i="7"/>
  <c r="K19" i="3" s="1"/>
  <c r="L37" i="7"/>
  <c r="J19" i="3" s="1"/>
  <c r="L13" i="6"/>
  <c r="L31" i="6" s="1"/>
  <c r="E32" i="6"/>
  <c r="E33" i="6" s="1"/>
  <c r="F89" i="6"/>
  <c r="F90" i="6" s="1"/>
  <c r="J187" i="6"/>
  <c r="K29" i="7"/>
  <c r="L29" i="7"/>
  <c r="J33" i="2" s="1"/>
  <c r="F163" i="6"/>
  <c r="I165" i="6"/>
  <c r="G97" i="6"/>
  <c r="G98" i="6" s="1"/>
  <c r="H97" i="6"/>
  <c r="E142" i="6"/>
  <c r="F137" i="6"/>
  <c r="F140" i="6" s="1"/>
  <c r="I141" i="6"/>
  <c r="G21" i="15"/>
  <c r="G20" i="15"/>
  <c r="H98" i="6"/>
  <c r="I97" i="6"/>
  <c r="I99" i="6" s="1"/>
  <c r="E153" i="6"/>
  <c r="E150" i="6"/>
  <c r="E42" i="5"/>
  <c r="I131" i="6"/>
  <c r="F153" i="6"/>
  <c r="J236" i="6"/>
  <c r="F42" i="5"/>
  <c r="E17" i="6"/>
  <c r="E21" i="6" s="1"/>
  <c r="F76" i="6"/>
  <c r="J131" i="6"/>
  <c r="J243" i="6"/>
  <c r="E42" i="15"/>
  <c r="E32" i="15"/>
  <c r="E228" i="6"/>
  <c r="E229" i="6" s="1"/>
  <c r="H113" i="6"/>
  <c r="E134" i="6"/>
  <c r="F130" i="6" s="1"/>
  <c r="F134" i="6" s="1"/>
  <c r="G130" i="6" s="1"/>
  <c r="G134" i="6" s="1"/>
  <c r="H130" i="6" s="1"/>
  <c r="H134" i="6" s="1"/>
  <c r="I130" i="6" s="1"/>
  <c r="H158" i="6"/>
  <c r="H159" i="6"/>
  <c r="H160" i="6" s="1"/>
  <c r="J240" i="6"/>
  <c r="J242" i="6" s="1"/>
  <c r="J244" i="6" s="1"/>
  <c r="I40" i="2" s="1"/>
  <c r="K241" i="6"/>
  <c r="L240" i="6" s="1"/>
  <c r="I242" i="6"/>
  <c r="I244" i="6" s="1"/>
  <c r="H40" i="2" s="1"/>
  <c r="J241" i="6"/>
  <c r="E258" i="6"/>
  <c r="F253" i="6"/>
  <c r="F257" i="6" s="1"/>
  <c r="K11" i="7"/>
  <c r="G248" i="6"/>
  <c r="G249" i="6" s="1"/>
  <c r="I237" i="6"/>
  <c r="H39" i="2" s="1"/>
  <c r="P22" i="12"/>
  <c r="H248" i="6"/>
  <c r="H249" i="6" s="1"/>
  <c r="K243" i="6"/>
  <c r="I248" i="6"/>
  <c r="E249" i="6"/>
  <c r="J10" i="7"/>
  <c r="M55" i="7"/>
  <c r="K36" i="5" s="1"/>
  <c r="L165" i="6" s="1"/>
  <c r="E158" i="6"/>
  <c r="J233" i="6"/>
  <c r="K12" i="7"/>
  <c r="J21" i="7"/>
  <c r="F158" i="6"/>
  <c r="I158" i="6" s="1"/>
  <c r="E21" i="15"/>
  <c r="E20" i="15"/>
  <c r="J234" i="6"/>
  <c r="E236" i="6"/>
  <c r="J255" i="6"/>
  <c r="K255" i="6" s="1"/>
  <c r="K7" i="7"/>
  <c r="L50" i="12"/>
  <c r="L59" i="12" s="1"/>
  <c r="D50" i="12"/>
  <c r="H5" i="12"/>
  <c r="K41" i="7"/>
  <c r="Q22" i="12"/>
  <c r="F248" i="6"/>
  <c r="F249" i="6" s="1"/>
  <c r="K55" i="7"/>
  <c r="Q18" i="12"/>
  <c r="L55" i="7"/>
  <c r="J36" i="5" s="1"/>
  <c r="K165" i="6" s="1"/>
  <c r="F21" i="15"/>
  <c r="F20" i="15"/>
  <c r="J47" i="7"/>
  <c r="Q10" i="12"/>
  <c r="Q21" i="12" s="1"/>
  <c r="D31" i="11"/>
  <c r="E31" i="11"/>
  <c r="O11" i="12"/>
  <c r="O22" i="12" s="1"/>
  <c r="J57" i="12"/>
  <c r="N10" i="12"/>
  <c r="N21" i="12" s="1"/>
  <c r="N18" i="12"/>
  <c r="N22" i="12" s="1"/>
  <c r="I55" i="12"/>
  <c r="O10" i="12"/>
  <c r="O21" i="12" s="1"/>
  <c r="O18" i="12"/>
  <c r="E52" i="12"/>
  <c r="K54" i="12"/>
  <c r="K56" i="12" s="1"/>
  <c r="J55" i="12"/>
  <c r="P10" i="12"/>
  <c r="P21" i="12" s="1"/>
  <c r="P18" i="12"/>
  <c r="K55" i="12"/>
  <c r="I52" i="12"/>
  <c r="J52" i="12"/>
  <c r="J56" i="12" s="1"/>
  <c r="I53" i="12"/>
  <c r="I56" i="12" s="1"/>
  <c r="K141" i="6" l="1"/>
  <c r="D31" i="12"/>
  <c r="E31" i="12" s="1"/>
  <c r="F31" i="12" s="1"/>
  <c r="G31" i="12" s="1"/>
  <c r="C31" i="12"/>
  <c r="F35" i="15"/>
  <c r="F78" i="3"/>
  <c r="I97" i="2"/>
  <c r="J114" i="6" s="1"/>
  <c r="M13" i="6"/>
  <c r="M31" i="6" s="1"/>
  <c r="F78" i="6"/>
  <c r="F79" i="6"/>
  <c r="G7" i="15"/>
  <c r="G33" i="15"/>
  <c r="G8" i="15"/>
  <c r="J5" i="12"/>
  <c r="G50" i="12" s="1"/>
  <c r="G24" i="4"/>
  <c r="G25" i="4" s="1"/>
  <c r="G36" i="2"/>
  <c r="G84" i="2"/>
  <c r="L7" i="7"/>
  <c r="M7" i="7" s="1"/>
  <c r="I5" i="2"/>
  <c r="F17" i="6"/>
  <c r="F21" i="6" s="1"/>
  <c r="E22" i="6"/>
  <c r="K57" i="12"/>
  <c r="J20" i="7"/>
  <c r="J13" i="7"/>
  <c r="K90" i="6"/>
  <c r="K25" i="7"/>
  <c r="I64" i="6"/>
  <c r="I87" i="6" s="1"/>
  <c r="I63" i="6"/>
  <c r="I82" i="6" s="1"/>
  <c r="H35" i="3"/>
  <c r="H24" i="2"/>
  <c r="C28" i="12"/>
  <c r="H17" i="3"/>
  <c r="L241" i="6"/>
  <c r="M240" i="6" s="1"/>
  <c r="E151" i="6"/>
  <c r="F146" i="6"/>
  <c r="F150" i="6" s="1"/>
  <c r="I138" i="6"/>
  <c r="I103" i="6" s="1"/>
  <c r="I213" i="6" s="1"/>
  <c r="H56" i="2" s="1"/>
  <c r="J141" i="6"/>
  <c r="I113" i="6"/>
  <c r="I70" i="6"/>
  <c r="F92" i="6"/>
  <c r="F228" i="6"/>
  <c r="F229" i="6" s="1"/>
  <c r="F47" i="6"/>
  <c r="C29" i="2"/>
  <c r="J14" i="7"/>
  <c r="E29" i="15"/>
  <c r="K20" i="7"/>
  <c r="E8" i="15"/>
  <c r="E7" i="15"/>
  <c r="E33" i="15"/>
  <c r="E84" i="2"/>
  <c r="E24" i="4"/>
  <c r="E25" i="4" s="1"/>
  <c r="E36" i="2"/>
  <c r="I249" i="6"/>
  <c r="L242" i="6"/>
  <c r="L244" i="6" s="1"/>
  <c r="K40" i="2" s="1"/>
  <c r="K187" i="6"/>
  <c r="J97" i="2" s="1"/>
  <c r="K114" i="6" s="1"/>
  <c r="F105" i="6"/>
  <c r="G102" i="6"/>
  <c r="G104" i="6" s="1"/>
  <c r="G76" i="6"/>
  <c r="I76" i="6" s="1"/>
  <c r="G79" i="6"/>
  <c r="G92" i="6" s="1"/>
  <c r="K53" i="6"/>
  <c r="K57" i="6" s="1"/>
  <c r="I6" i="3"/>
  <c r="J58" i="6" s="1"/>
  <c r="F33" i="12"/>
  <c r="G33" i="12" s="1"/>
  <c r="C33" i="12"/>
  <c r="K22" i="7"/>
  <c r="I57" i="12"/>
  <c r="N5" i="12"/>
  <c r="O5" i="12"/>
  <c r="L47" i="7"/>
  <c r="J17" i="3" s="1"/>
  <c r="L41" i="7"/>
  <c r="C29" i="12"/>
  <c r="F258" i="6"/>
  <c r="G253" i="6"/>
  <c r="G257" i="6" s="1"/>
  <c r="F142" i="6"/>
  <c r="G137" i="6"/>
  <c r="G140" i="6" s="1"/>
  <c r="J158" i="6"/>
  <c r="E78" i="6"/>
  <c r="E79" i="6"/>
  <c r="H78" i="6"/>
  <c r="H79" i="6"/>
  <c r="I79" i="6" s="1"/>
  <c r="K46" i="7"/>
  <c r="J15" i="7"/>
  <c r="M153" i="6"/>
  <c r="L62" i="2"/>
  <c r="L61" i="2"/>
  <c r="J256" i="6"/>
  <c r="J3" i="2"/>
  <c r="L12" i="7"/>
  <c r="M12" i="7" s="1"/>
  <c r="L187" i="6"/>
  <c r="K97" i="2" s="1"/>
  <c r="L114" i="6" s="1"/>
  <c r="J19" i="7"/>
  <c r="L255" i="6"/>
  <c r="K233" i="6"/>
  <c r="K234" i="6"/>
  <c r="K47" i="7"/>
  <c r="H8" i="2"/>
  <c r="H9" i="2" s="1"/>
  <c r="J97" i="6"/>
  <c r="J99" i="6" s="1"/>
  <c r="H18" i="3"/>
  <c r="K85" i="6"/>
  <c r="G35" i="6"/>
  <c r="G36" i="6" s="1"/>
  <c r="H9" i="6"/>
  <c r="H14" i="6" s="1"/>
  <c r="F18" i="15"/>
  <c r="F17" i="15"/>
  <c r="E92" i="6"/>
  <c r="G29" i="15"/>
  <c r="J99" i="2"/>
  <c r="L18" i="7"/>
  <c r="M18" i="7" s="1"/>
  <c r="I153" i="6"/>
  <c r="H62" i="2"/>
  <c r="H61" i="2"/>
  <c r="F7" i="15"/>
  <c r="F33" i="15"/>
  <c r="F8" i="15"/>
  <c r="F24" i="4"/>
  <c r="F25" i="4" s="1"/>
  <c r="F36" i="2"/>
  <c r="F84" i="2"/>
  <c r="D30" i="12"/>
  <c r="E30" i="12" s="1"/>
  <c r="F30" i="12" s="1"/>
  <c r="G30" i="12" s="1"/>
  <c r="C30" i="12"/>
  <c r="K188" i="6"/>
  <c r="L186" i="6" s="1"/>
  <c r="D33" i="15"/>
  <c r="D8" i="15"/>
  <c r="D7" i="15"/>
  <c r="D84" i="2"/>
  <c r="D36" i="2"/>
  <c r="D24" i="4"/>
  <c r="D25" i="4" s="1"/>
  <c r="E125" i="6"/>
  <c r="F110" i="6"/>
  <c r="F116" i="6" s="1"/>
  <c r="E117" i="6"/>
  <c r="D27" i="12"/>
  <c r="E27" i="12" s="1"/>
  <c r="F27" i="12" s="1"/>
  <c r="G27" i="12" s="1"/>
  <c r="C27" i="12"/>
  <c r="I12" i="2"/>
  <c r="D26" i="12"/>
  <c r="E26" i="12" s="1"/>
  <c r="F26" i="12" s="1"/>
  <c r="C26" i="12"/>
  <c r="E50" i="12"/>
  <c r="J50" i="12"/>
  <c r="J59" i="12" s="1"/>
  <c r="I50" i="12"/>
  <c r="I59" i="12" s="1"/>
  <c r="J235" i="6"/>
  <c r="J237" i="6" s="1"/>
  <c r="M11" i="7"/>
  <c r="N11" i="7" s="1"/>
  <c r="F32" i="12"/>
  <c r="G32" i="12" s="1"/>
  <c r="C32" i="12"/>
  <c r="K10" i="7"/>
  <c r="L11" i="7"/>
  <c r="J12" i="2" s="1"/>
  <c r="K240" i="6"/>
  <c r="K242" i="6" s="1"/>
  <c r="K244" i="6" s="1"/>
  <c r="J40" i="2" s="1"/>
  <c r="M241" i="6"/>
  <c r="K131" i="6"/>
  <c r="M131" i="6" s="1"/>
  <c r="M243" i="6"/>
  <c r="L131" i="6"/>
  <c r="M29" i="7"/>
  <c r="K33" i="2" s="1"/>
  <c r="N37" i="7"/>
  <c r="L19" i="3" s="1"/>
  <c r="I19" i="3"/>
  <c r="D29" i="15"/>
  <c r="J153" i="6"/>
  <c r="I61" i="2"/>
  <c r="I62" i="2"/>
  <c r="G35" i="15"/>
  <c r="G78" i="3"/>
  <c r="J16" i="7"/>
  <c r="E18" i="15"/>
  <c r="E17" i="15"/>
  <c r="N55" i="7"/>
  <c r="L36" i="5" s="1"/>
  <c r="M165" i="6" s="1"/>
  <c r="I36" i="5"/>
  <c r="J165" i="6" s="1"/>
  <c r="K21" i="7"/>
  <c r="H17" i="5"/>
  <c r="H42" i="2"/>
  <c r="K236" i="6"/>
  <c r="L236" i="6" s="1"/>
  <c r="E76" i="6"/>
  <c r="E35" i="6"/>
  <c r="E36" i="6" s="1"/>
  <c r="N29" i="7"/>
  <c r="L33" i="2" s="1"/>
  <c r="I33" i="2"/>
  <c r="L243" i="6"/>
  <c r="G24" i="15"/>
  <c r="F24" i="6"/>
  <c r="J17" i="7"/>
  <c r="E38" i="3"/>
  <c r="F24" i="15" s="1"/>
  <c r="N18" i="7" l="1"/>
  <c r="L17" i="7"/>
  <c r="K17" i="7"/>
  <c r="K97" i="6"/>
  <c r="K99" i="6" s="1"/>
  <c r="I18" i="3"/>
  <c r="K235" i="6"/>
  <c r="K237" i="6" s="1"/>
  <c r="N12" i="7"/>
  <c r="G142" i="6"/>
  <c r="H137" i="6"/>
  <c r="H140" i="6" s="1"/>
  <c r="E9" i="15"/>
  <c r="E14" i="15"/>
  <c r="E31" i="5"/>
  <c r="E48" i="2"/>
  <c r="E53" i="2" s="1"/>
  <c r="E26" i="4"/>
  <c r="E27" i="4" s="1"/>
  <c r="E85" i="2"/>
  <c r="E4" i="4"/>
  <c r="E34" i="15"/>
  <c r="I92" i="6"/>
  <c r="I67" i="6"/>
  <c r="I13" i="2"/>
  <c r="I35" i="3" s="1"/>
  <c r="J5" i="2"/>
  <c r="J76" i="6"/>
  <c r="I132" i="6"/>
  <c r="I134" i="6" s="1"/>
  <c r="I112" i="6"/>
  <c r="G26" i="12"/>
  <c r="I37" i="5"/>
  <c r="H37" i="5"/>
  <c r="F151" i="6"/>
  <c r="G146" i="6"/>
  <c r="G150" i="6" s="1"/>
  <c r="J64" i="6"/>
  <c r="J87" i="6" s="1"/>
  <c r="I24" i="2"/>
  <c r="H35" i="6"/>
  <c r="H36" i="6" s="1"/>
  <c r="I9" i="6"/>
  <c r="I14" i="6" s="1"/>
  <c r="H15" i="6"/>
  <c r="M41" i="7"/>
  <c r="M255" i="6"/>
  <c r="K256" i="6"/>
  <c r="K3" i="2"/>
  <c r="I73" i="6"/>
  <c r="J79" i="6"/>
  <c r="M236" i="6"/>
  <c r="G105" i="6"/>
  <c r="H102" i="6"/>
  <c r="H104" i="6" s="1"/>
  <c r="K14" i="7"/>
  <c r="J113" i="6"/>
  <c r="M242" i="6"/>
  <c r="M244" i="6" s="1"/>
  <c r="L40" i="2" s="1"/>
  <c r="I84" i="6"/>
  <c r="H63" i="3"/>
  <c r="L90" i="6"/>
  <c r="J70" i="6"/>
  <c r="N7" i="7"/>
  <c r="M187" i="6"/>
  <c r="L97" i="2" s="1"/>
  <c r="M114" i="6" s="1"/>
  <c r="H92" i="6"/>
  <c r="L233" i="6"/>
  <c r="L234" i="6"/>
  <c r="M233" i="6" s="1"/>
  <c r="F22" i="6"/>
  <c r="G17" i="6"/>
  <c r="G21" i="6" s="1"/>
  <c r="F25" i="6"/>
  <c r="F26" i="6" s="1"/>
  <c r="F27" i="6" s="1"/>
  <c r="G24" i="6"/>
  <c r="I39" i="2"/>
  <c r="J248" i="6"/>
  <c r="K16" i="7"/>
  <c r="K99" i="2"/>
  <c r="H6" i="15"/>
  <c r="H7" i="8"/>
  <c r="I62" i="6"/>
  <c r="H47" i="2"/>
  <c r="H23" i="4"/>
  <c r="H25" i="2"/>
  <c r="H23" i="2"/>
  <c r="H10" i="2"/>
  <c r="L25" i="7"/>
  <c r="M25" i="7" s="1"/>
  <c r="I89" i="6"/>
  <c r="H62" i="3"/>
  <c r="L22" i="7"/>
  <c r="K113" i="6"/>
  <c r="K112" i="6" s="1"/>
  <c r="K138" i="6"/>
  <c r="K103" i="6" s="1"/>
  <c r="K213" i="6" s="1"/>
  <c r="J56" i="2" s="1"/>
  <c r="M17" i="7"/>
  <c r="M20" i="7"/>
  <c r="D14" i="15"/>
  <c r="D9" i="15"/>
  <c r="D31" i="5"/>
  <c r="D26" i="4"/>
  <c r="D27" i="4" s="1"/>
  <c r="D85" i="2"/>
  <c r="D48" i="2"/>
  <c r="D53" i="2" s="1"/>
  <c r="D4" i="4"/>
  <c r="D34" i="15"/>
  <c r="F9" i="15"/>
  <c r="F14" i="15"/>
  <c r="F31" i="5"/>
  <c r="F85" i="2"/>
  <c r="F48" i="2"/>
  <c r="F53" i="2" s="1"/>
  <c r="F26" i="4"/>
  <c r="F27" i="4" s="1"/>
  <c r="F4" i="4"/>
  <c r="F34" i="15"/>
  <c r="K158" i="6"/>
  <c r="L20" i="7"/>
  <c r="N20" i="7" s="1"/>
  <c r="L53" i="6"/>
  <c r="L57" i="6" s="1"/>
  <c r="J6" i="3"/>
  <c r="K58" i="6" s="1"/>
  <c r="C33" i="15"/>
  <c r="C8" i="15"/>
  <c r="C7" i="15"/>
  <c r="C24" i="4"/>
  <c r="C25" i="4" s="1"/>
  <c r="C84" i="2"/>
  <c r="C36" i="2"/>
  <c r="J138" i="6"/>
  <c r="J103" i="6" s="1"/>
  <c r="J213" i="6" s="1"/>
  <c r="I56" i="2" s="1"/>
  <c r="H24" i="5"/>
  <c r="H21" i="2"/>
  <c r="J45" i="7"/>
  <c r="N41" i="7"/>
  <c r="G9" i="15"/>
  <c r="G14" i="15"/>
  <c r="G31" i="5"/>
  <c r="G85" i="2"/>
  <c r="G26" i="4"/>
  <c r="G27" i="4" s="1"/>
  <c r="G48" i="2"/>
  <c r="G53" i="2" s="1"/>
  <c r="G4" i="4"/>
  <c r="G34" i="15"/>
  <c r="M234" i="6"/>
  <c r="K12" i="2"/>
  <c r="K15" i="7"/>
  <c r="H8" i="5"/>
  <c r="K64" i="6"/>
  <c r="K87" i="6" s="1"/>
  <c r="I8" i="2"/>
  <c r="I9" i="2" s="1"/>
  <c r="L10" i="7"/>
  <c r="J8" i="2" s="1"/>
  <c r="J9" i="2" s="1"/>
  <c r="E35" i="15"/>
  <c r="E78" i="3"/>
  <c r="E24" i="15"/>
  <c r="L21" i="7"/>
  <c r="M21" i="7" s="1"/>
  <c r="G110" i="6"/>
  <c r="G116" i="6" s="1"/>
  <c r="F117" i="6"/>
  <c r="F125" i="6"/>
  <c r="L188" i="6"/>
  <c r="M186" i="6" s="1"/>
  <c r="M188" i="6" s="1"/>
  <c r="L85" i="6"/>
  <c r="I17" i="3"/>
  <c r="I24" i="5" s="1"/>
  <c r="K19" i="7"/>
  <c r="G258" i="6"/>
  <c r="H253" i="6"/>
  <c r="H257" i="6" s="1"/>
  <c r="F51" i="6"/>
  <c r="G42" i="6"/>
  <c r="L141" i="6"/>
  <c r="L138" i="6" s="1"/>
  <c r="L103" i="6" s="1"/>
  <c r="L213" i="6" s="1"/>
  <c r="K56" i="2" s="1"/>
  <c r="M47" i="7"/>
  <c r="K17" i="3" s="1"/>
  <c r="L46" i="7"/>
  <c r="K13" i="7"/>
  <c r="I78" i="6"/>
  <c r="J78" i="6" s="1"/>
  <c r="J7" i="8" l="1"/>
  <c r="J12" i="8" s="1"/>
  <c r="J6" i="15"/>
  <c r="K62" i="6"/>
  <c r="J25" i="2"/>
  <c r="J23" i="2"/>
  <c r="J10" i="2"/>
  <c r="L23" i="7" s="1"/>
  <c r="J23" i="4"/>
  <c r="J47" i="2"/>
  <c r="K89" i="6"/>
  <c r="J62" i="3"/>
  <c r="H27" i="2"/>
  <c r="I21" i="2"/>
  <c r="H19" i="2"/>
  <c r="N21" i="7"/>
  <c r="H13" i="4"/>
  <c r="H28" i="15"/>
  <c r="K132" i="6"/>
  <c r="G22" i="6"/>
  <c r="H17" i="6"/>
  <c r="H21" i="6" s="1"/>
  <c r="H24" i="6"/>
  <c r="G25" i="6"/>
  <c r="M90" i="6"/>
  <c r="N25" i="7"/>
  <c r="E10" i="15"/>
  <c r="F208" i="6"/>
  <c r="E86" i="2"/>
  <c r="E5" i="4"/>
  <c r="E30" i="4" s="1"/>
  <c r="E4" i="5"/>
  <c r="E19" i="5" s="1"/>
  <c r="E27" i="5" s="1"/>
  <c r="E30" i="5" s="1"/>
  <c r="E59" i="2"/>
  <c r="D24" i="9"/>
  <c r="L158" i="6"/>
  <c r="M158" i="6" s="1"/>
  <c r="J24" i="2"/>
  <c r="L99" i="2"/>
  <c r="H105" i="6"/>
  <c r="I102" i="6"/>
  <c r="I104" i="6" s="1"/>
  <c r="G47" i="6"/>
  <c r="F6" i="4"/>
  <c r="F18" i="4" s="1"/>
  <c r="D6" i="4"/>
  <c r="D18" i="4" s="1"/>
  <c r="J63" i="6"/>
  <c r="J82" i="6" s="1"/>
  <c r="K248" i="6"/>
  <c r="J39" i="2"/>
  <c r="M10" i="7"/>
  <c r="G117" i="6"/>
  <c r="G125" i="6"/>
  <c r="H110" i="6"/>
  <c r="H116" i="6" s="1"/>
  <c r="N47" i="7"/>
  <c r="L17" i="3" s="1"/>
  <c r="I16" i="2"/>
  <c r="L15" i="7"/>
  <c r="J92" i="6"/>
  <c r="M141" i="6"/>
  <c r="M53" i="6"/>
  <c r="M57" i="6" s="1"/>
  <c r="K6" i="3"/>
  <c r="L58" i="6" s="1"/>
  <c r="D10" i="15"/>
  <c r="E208" i="6"/>
  <c r="D59" i="2"/>
  <c r="D86" i="2"/>
  <c r="D4" i="5"/>
  <c r="D19" i="5" s="1"/>
  <c r="D27" i="5" s="1"/>
  <c r="D30" i="5" s="1"/>
  <c r="D5" i="4"/>
  <c r="D30" i="4" s="1"/>
  <c r="H18" i="2"/>
  <c r="M22" i="7"/>
  <c r="N22" i="7" s="1"/>
  <c r="I17" i="2"/>
  <c r="M235" i="6"/>
  <c r="M237" i="6" s="1"/>
  <c r="J89" i="6"/>
  <c r="I62" i="3"/>
  <c r="K70" i="6"/>
  <c r="L70" i="6" s="1"/>
  <c r="H16" i="2"/>
  <c r="I69" i="6"/>
  <c r="H28" i="3"/>
  <c r="J37" i="5"/>
  <c r="L64" i="6"/>
  <c r="L87" i="6" s="1"/>
  <c r="K24" i="2"/>
  <c r="M85" i="6"/>
  <c r="I253" i="6"/>
  <c r="H258" i="6"/>
  <c r="C9" i="15"/>
  <c r="C48" i="2"/>
  <c r="C53" i="2" s="1"/>
  <c r="C4" i="4"/>
  <c r="C85" i="2"/>
  <c r="C26" i="4"/>
  <c r="C27" i="4" s="1"/>
  <c r="C34" i="15"/>
  <c r="F10" i="15"/>
  <c r="G208" i="6"/>
  <c r="F59" i="2"/>
  <c r="F5" i="4"/>
  <c r="F30" i="4" s="1"/>
  <c r="F4" i="5"/>
  <c r="F19" i="5" s="1"/>
  <c r="F27" i="5" s="1"/>
  <c r="F30" i="5" s="1"/>
  <c r="F86" i="2"/>
  <c r="L235" i="6"/>
  <c r="L237" i="6" s="1"/>
  <c r="K79" i="6"/>
  <c r="J73" i="6"/>
  <c r="J75" i="6" s="1"/>
  <c r="I24" i="3" s="1"/>
  <c r="J9" i="6"/>
  <c r="J14" i="6" s="1"/>
  <c r="I7" i="6"/>
  <c r="L97" i="6"/>
  <c r="L99" i="6" s="1"/>
  <c r="J18" i="3"/>
  <c r="I77" i="6"/>
  <c r="H25" i="3" s="1"/>
  <c r="G10" i="15"/>
  <c r="H208" i="6"/>
  <c r="G4" i="5"/>
  <c r="G19" i="5" s="1"/>
  <c r="G27" i="5" s="1"/>
  <c r="G30" i="5" s="1"/>
  <c r="G59" i="2"/>
  <c r="G86" i="2"/>
  <c r="G5" i="4"/>
  <c r="G30" i="4" s="1"/>
  <c r="K45" i="7"/>
  <c r="H64" i="3"/>
  <c r="K78" i="6"/>
  <c r="H10" i="8"/>
  <c r="H12" i="8"/>
  <c r="I17" i="5"/>
  <c r="I42" i="2"/>
  <c r="H26" i="3"/>
  <c r="G151" i="6"/>
  <c r="H146" i="6"/>
  <c r="H150" i="6" s="1"/>
  <c r="J130" i="6"/>
  <c r="H68" i="3"/>
  <c r="H142" i="6"/>
  <c r="I137" i="6"/>
  <c r="I140" i="6" s="1"/>
  <c r="N17" i="7"/>
  <c r="I18" i="2"/>
  <c r="L16" i="7"/>
  <c r="I20" i="2"/>
  <c r="L19" i="7"/>
  <c r="M113" i="6"/>
  <c r="J132" i="6"/>
  <c r="J112" i="6"/>
  <c r="L256" i="6"/>
  <c r="L3" i="2"/>
  <c r="L113" i="6"/>
  <c r="L132" i="6" s="1"/>
  <c r="E6" i="4"/>
  <c r="E18" i="4" s="1"/>
  <c r="K76" i="6"/>
  <c r="L13" i="7"/>
  <c r="M13" i="7" s="1"/>
  <c r="I6" i="15"/>
  <c r="I7" i="8"/>
  <c r="I12" i="8" s="1"/>
  <c r="J62" i="6"/>
  <c r="J67" i="6" s="1"/>
  <c r="I47" i="2"/>
  <c r="I23" i="4"/>
  <c r="I25" i="2"/>
  <c r="I23" i="2"/>
  <c r="I10" i="2"/>
  <c r="H17" i="2"/>
  <c r="H20" i="2"/>
  <c r="M46" i="7"/>
  <c r="M19" i="7"/>
  <c r="N19" i="7" s="1"/>
  <c r="G26" i="6"/>
  <c r="G27" i="6" s="1"/>
  <c r="I15" i="2"/>
  <c r="L14" i="7"/>
  <c r="H15" i="2"/>
  <c r="J13" i="2"/>
  <c r="K5" i="2"/>
  <c r="I75" i="6"/>
  <c r="H24" i="3" s="1"/>
  <c r="L89" i="6" l="1"/>
  <c r="K62" i="3"/>
  <c r="J69" i="6"/>
  <c r="I28" i="3"/>
  <c r="M76" i="6"/>
  <c r="L92" i="6"/>
  <c r="J134" i="6"/>
  <c r="H13" i="8"/>
  <c r="G46" i="15"/>
  <c r="I5" i="8"/>
  <c r="I10" i="8" s="1"/>
  <c r="G49" i="15"/>
  <c r="G45" i="15"/>
  <c r="I254" i="6"/>
  <c r="H217" i="6"/>
  <c r="H209" i="6"/>
  <c r="I257" i="6"/>
  <c r="M248" i="6"/>
  <c r="L39" i="2"/>
  <c r="E181" i="6"/>
  <c r="E183" i="6" s="1"/>
  <c r="E195" i="6"/>
  <c r="D63" i="2"/>
  <c r="D20" i="4"/>
  <c r="L112" i="6"/>
  <c r="F217" i="6"/>
  <c r="F209" i="6"/>
  <c r="I146" i="6"/>
  <c r="I150" i="6" s="1"/>
  <c r="H151" i="6"/>
  <c r="I15" i="6"/>
  <c r="E217" i="6"/>
  <c r="E209" i="6"/>
  <c r="N13" i="7"/>
  <c r="M16" i="7"/>
  <c r="K9" i="6"/>
  <c r="K14" i="6" s="1"/>
  <c r="J7" i="6"/>
  <c r="F49" i="5"/>
  <c r="G162" i="6"/>
  <c r="F50" i="5"/>
  <c r="F53" i="5" s="1"/>
  <c r="C6" i="4"/>
  <c r="C18" i="4" s="1"/>
  <c r="C20" i="4" s="1"/>
  <c r="H11" i="4"/>
  <c r="H27" i="15"/>
  <c r="H23" i="5"/>
  <c r="K8" i="2"/>
  <c r="K9" i="2" s="1"/>
  <c r="N10" i="7"/>
  <c r="L8" i="2" s="1"/>
  <c r="L9" i="2" s="1"/>
  <c r="G51" i="6"/>
  <c r="H42" i="6"/>
  <c r="I17" i="6"/>
  <c r="I21" i="6" s="1"/>
  <c r="H22" i="6"/>
  <c r="I24" i="6"/>
  <c r="H25" i="6"/>
  <c r="H26" i="6" s="1"/>
  <c r="H27" i="6" s="1"/>
  <c r="I27" i="2"/>
  <c r="J21" i="2"/>
  <c r="J20" i="2" s="1"/>
  <c r="I19" i="2"/>
  <c r="L45" i="7"/>
  <c r="I64" i="3"/>
  <c r="C10" i="15"/>
  <c r="C86" i="2"/>
  <c r="C59" i="2"/>
  <c r="C63" i="2" s="1"/>
  <c r="C5" i="4"/>
  <c r="C30" i="4" s="1"/>
  <c r="J17" i="5"/>
  <c r="J42" i="2"/>
  <c r="G228" i="6"/>
  <c r="G229" i="6" s="1"/>
  <c r="E24" i="9"/>
  <c r="D34" i="9"/>
  <c r="E34" i="9"/>
  <c r="H66" i="3"/>
  <c r="H29" i="2"/>
  <c r="F20" i="4"/>
  <c r="F19" i="4"/>
  <c r="I74" i="6"/>
  <c r="H23" i="3" s="1"/>
  <c r="K37" i="5"/>
  <c r="I26" i="3"/>
  <c r="G181" i="6"/>
  <c r="G195" i="6"/>
  <c r="F63" i="2"/>
  <c r="L6" i="3"/>
  <c r="M58" i="6" s="1"/>
  <c r="N15" i="7"/>
  <c r="K249" i="6"/>
  <c r="J102" i="6"/>
  <c r="J104" i="6" s="1"/>
  <c r="H16" i="3"/>
  <c r="I105" i="6" s="1"/>
  <c r="F181" i="6"/>
  <c r="F195" i="6"/>
  <c r="E63" i="2"/>
  <c r="J77" i="6"/>
  <c r="I25" i="3" s="1"/>
  <c r="L76" i="6"/>
  <c r="I142" i="6"/>
  <c r="J137" i="6"/>
  <c r="J140" i="6" s="1"/>
  <c r="H69" i="3"/>
  <c r="I8" i="5"/>
  <c r="M97" i="6"/>
  <c r="M99" i="6" s="1"/>
  <c r="L18" i="3" s="1"/>
  <c r="K18" i="3"/>
  <c r="L79" i="6"/>
  <c r="G217" i="6"/>
  <c r="G209" i="6"/>
  <c r="K92" i="6"/>
  <c r="K67" i="6"/>
  <c r="F162" i="6"/>
  <c r="E50" i="5"/>
  <c r="E53" i="5" s="1"/>
  <c r="E49" i="5"/>
  <c r="K13" i="2"/>
  <c r="L5" i="2"/>
  <c r="L13" i="2" s="1"/>
  <c r="K63" i="6"/>
  <c r="K82" i="6" s="1"/>
  <c r="J35" i="3"/>
  <c r="L78" i="6"/>
  <c r="E20" i="4"/>
  <c r="E19" i="4"/>
  <c r="H195" i="6"/>
  <c r="H181" i="6"/>
  <c r="G63" i="2"/>
  <c r="M15" i="7"/>
  <c r="L248" i="6"/>
  <c r="K39" i="2"/>
  <c r="G6" i="4"/>
  <c r="G18" i="4" s="1"/>
  <c r="I28" i="15"/>
  <c r="E162" i="6"/>
  <c r="D49" i="5"/>
  <c r="E165" i="6" s="1"/>
  <c r="M138" i="6"/>
  <c r="M103" i="6" s="1"/>
  <c r="M213" i="6" s="1"/>
  <c r="L56" i="2" s="1"/>
  <c r="J84" i="6"/>
  <c r="I63" i="3"/>
  <c r="I13" i="4" s="1"/>
  <c r="M112" i="6"/>
  <c r="M132" i="6"/>
  <c r="H26" i="15"/>
  <c r="H29" i="15" s="1"/>
  <c r="I22" i="5"/>
  <c r="H12" i="4"/>
  <c r="H22" i="5"/>
  <c r="H25" i="15"/>
  <c r="M14" i="7"/>
  <c r="L12" i="2"/>
  <c r="H70" i="3"/>
  <c r="H162" i="6"/>
  <c r="G49" i="5"/>
  <c r="J249" i="6"/>
  <c r="M70" i="6"/>
  <c r="H117" i="6"/>
  <c r="H125" i="6"/>
  <c r="I110" i="6"/>
  <c r="I116" i="6" s="1"/>
  <c r="J26" i="2"/>
  <c r="N46" i="7"/>
  <c r="L49" i="15" l="1"/>
  <c r="L7" i="8"/>
  <c r="L12" i="8" s="1"/>
  <c r="L6" i="15"/>
  <c r="L46" i="15"/>
  <c r="M62" i="6"/>
  <c r="L23" i="2"/>
  <c r="L10" i="2"/>
  <c r="L47" i="2"/>
  <c r="L23" i="4"/>
  <c r="L25" i="2"/>
  <c r="K6" i="15"/>
  <c r="K7" i="8"/>
  <c r="K12" i="8" s="1"/>
  <c r="L62" i="6"/>
  <c r="L67" i="6" s="1"/>
  <c r="K25" i="2"/>
  <c r="K23" i="2"/>
  <c r="K10" i="2"/>
  <c r="M23" i="7" s="1"/>
  <c r="K47" i="2"/>
  <c r="K23" i="4"/>
  <c r="K27" i="6"/>
  <c r="J27" i="6"/>
  <c r="I27" i="6"/>
  <c r="J24" i="5"/>
  <c r="K69" i="6"/>
  <c r="J28" i="3"/>
  <c r="E13" i="15"/>
  <c r="E12" i="15"/>
  <c r="E11" i="15"/>
  <c r="E72" i="2"/>
  <c r="E87" i="2"/>
  <c r="E64" i="2"/>
  <c r="E71" i="2"/>
  <c r="E89" i="2"/>
  <c r="C11" i="15"/>
  <c r="C87" i="2"/>
  <c r="C89" i="2"/>
  <c r="C71" i="2"/>
  <c r="C38" i="15" s="1"/>
  <c r="C41" i="15" s="1"/>
  <c r="C72" i="2"/>
  <c r="I66" i="3"/>
  <c r="I29" i="2"/>
  <c r="J17" i="2"/>
  <c r="J146" i="6"/>
  <c r="J150" i="6" s="1"/>
  <c r="H12" i="3"/>
  <c r="I151" i="6" s="1"/>
  <c r="F180" i="6"/>
  <c r="F183" i="6" s="1"/>
  <c r="E190" i="6"/>
  <c r="E191" i="6" s="1"/>
  <c r="H165" i="6"/>
  <c r="H166" i="6" s="1"/>
  <c r="H168" i="6" s="1"/>
  <c r="G223" i="6"/>
  <c r="K17" i="5"/>
  <c r="K42" i="2"/>
  <c r="L249" i="6" s="1"/>
  <c r="K17" i="2"/>
  <c r="J15" i="2"/>
  <c r="D50" i="5"/>
  <c r="D53" i="5" s="1"/>
  <c r="D54" i="5" s="1"/>
  <c r="K16" i="2"/>
  <c r="K84" i="6"/>
  <c r="J63" i="3"/>
  <c r="F200" i="6"/>
  <c r="F197" i="6"/>
  <c r="J16" i="2"/>
  <c r="I209" i="6"/>
  <c r="L17" i="5"/>
  <c r="L42" i="2"/>
  <c r="H46" i="15"/>
  <c r="H49" i="15"/>
  <c r="H45" i="15"/>
  <c r="I13" i="8"/>
  <c r="J5" i="8"/>
  <c r="J10" i="8" s="1"/>
  <c r="J254" i="6"/>
  <c r="E166" i="6"/>
  <c r="E168" i="6" s="1"/>
  <c r="E172" i="6" s="1"/>
  <c r="G11" i="15"/>
  <c r="G13" i="15"/>
  <c r="K5" i="12"/>
  <c r="G12" i="15"/>
  <c r="G64" i="2"/>
  <c r="G87" i="2"/>
  <c r="G71" i="2"/>
  <c r="G72" i="2"/>
  <c r="G89" i="2"/>
  <c r="F12" i="15"/>
  <c r="F11" i="15"/>
  <c r="F13" i="15"/>
  <c r="F72" i="2"/>
  <c r="F87" i="2"/>
  <c r="F71" i="2"/>
  <c r="F89" i="2"/>
  <c r="F64" i="2"/>
  <c r="E35" i="9"/>
  <c r="D35" i="9"/>
  <c r="N16" i="7"/>
  <c r="G165" i="6"/>
  <c r="G166" i="6" s="1"/>
  <c r="G168" i="6" s="1"/>
  <c r="G172" i="6" s="1"/>
  <c r="F223" i="6"/>
  <c r="I217" i="6"/>
  <c r="H8" i="15"/>
  <c r="H7" i="15"/>
  <c r="H84" i="2"/>
  <c r="H24" i="4"/>
  <c r="H25" i="4" s="1"/>
  <c r="J27" i="2"/>
  <c r="K21" i="2"/>
  <c r="J19" i="2"/>
  <c r="J18" i="2"/>
  <c r="E200" i="6"/>
  <c r="E197" i="6"/>
  <c r="I117" i="6"/>
  <c r="I125" i="6"/>
  <c r="J110" i="6"/>
  <c r="J116" i="6" s="1"/>
  <c r="H53" i="3"/>
  <c r="H55" i="3" s="1"/>
  <c r="K35" i="3"/>
  <c r="K24" i="5" s="1"/>
  <c r="L63" i="6"/>
  <c r="L82" i="6" s="1"/>
  <c r="J217" i="6"/>
  <c r="J142" i="6"/>
  <c r="K137" i="6"/>
  <c r="K140" i="6" s="1"/>
  <c r="I69" i="3"/>
  <c r="G200" i="6"/>
  <c r="G197" i="6"/>
  <c r="J253" i="6"/>
  <c r="J257" i="6" s="1"/>
  <c r="H65" i="3"/>
  <c r="I258" i="6" s="1"/>
  <c r="I11" i="4"/>
  <c r="J23" i="5"/>
  <c r="I27" i="15"/>
  <c r="H200" i="6"/>
  <c r="H197" i="6"/>
  <c r="M78" i="6"/>
  <c r="K73" i="6"/>
  <c r="M45" i="7"/>
  <c r="J64" i="3"/>
  <c r="J17" i="6"/>
  <c r="J21" i="6" s="1"/>
  <c r="H9" i="3"/>
  <c r="I25" i="6"/>
  <c r="I26" i="6" s="1"/>
  <c r="K24" i="6"/>
  <c r="J15" i="6"/>
  <c r="D19" i="4"/>
  <c r="K130" i="6"/>
  <c r="K134" i="6" s="1"/>
  <c r="I68" i="3"/>
  <c r="M67" i="6"/>
  <c r="M92" i="6"/>
  <c r="M256" i="6"/>
  <c r="F165" i="6"/>
  <c r="F166" i="6" s="1"/>
  <c r="F168" i="6" s="1"/>
  <c r="F172" i="6" s="1"/>
  <c r="E223" i="6"/>
  <c r="L73" i="6"/>
  <c r="L75" i="6" s="1"/>
  <c r="K24" i="3" s="1"/>
  <c r="M79" i="6"/>
  <c r="K102" i="6"/>
  <c r="K104" i="6" s="1"/>
  <c r="I16" i="3"/>
  <c r="J105" i="6" s="1"/>
  <c r="I26" i="15"/>
  <c r="I29" i="15" s="1"/>
  <c r="I12" i="4"/>
  <c r="I25" i="15"/>
  <c r="J8" i="5"/>
  <c r="H228" i="6"/>
  <c r="H229" i="6" s="1"/>
  <c r="H47" i="6"/>
  <c r="I23" i="5"/>
  <c r="L9" i="6"/>
  <c r="L14" i="6" s="1"/>
  <c r="K7" i="6"/>
  <c r="K217" i="6"/>
  <c r="K15" i="2"/>
  <c r="M64" i="6"/>
  <c r="M87" i="6" s="1"/>
  <c r="M63" i="6"/>
  <c r="M82" i="6" s="1"/>
  <c r="L24" i="2"/>
  <c r="L35" i="3"/>
  <c r="G50" i="5"/>
  <c r="G53" i="5" s="1"/>
  <c r="N14" i="7"/>
  <c r="G20" i="4"/>
  <c r="G19" i="4"/>
  <c r="L37" i="5"/>
  <c r="J74" i="6"/>
  <c r="I23" i="3" s="1"/>
  <c r="J24" i="6"/>
  <c r="D13" i="15"/>
  <c r="D12" i="15"/>
  <c r="D11" i="15"/>
  <c r="D71" i="2"/>
  <c r="D72" i="2"/>
  <c r="D64" i="2"/>
  <c r="D87" i="2"/>
  <c r="D89" i="2"/>
  <c r="H172" i="6" l="1"/>
  <c r="I160" i="6"/>
  <c r="N45" i="7"/>
  <c r="L64" i="3" s="1"/>
  <c r="K64" i="3"/>
  <c r="J125" i="6"/>
  <c r="K110" i="6"/>
  <c r="K116" i="6" s="1"/>
  <c r="I53" i="3"/>
  <c r="I55" i="3" s="1"/>
  <c r="J66" i="3"/>
  <c r="J29" i="2"/>
  <c r="F39" i="7"/>
  <c r="F224" i="6"/>
  <c r="F38" i="15"/>
  <c r="F41" i="15" s="1"/>
  <c r="F73" i="2"/>
  <c r="F39" i="15" s="1"/>
  <c r="J28" i="15"/>
  <c r="J13" i="4"/>
  <c r="K146" i="6"/>
  <c r="K150" i="6" s="1"/>
  <c r="I12" i="3"/>
  <c r="J151" i="6" s="1"/>
  <c r="M27" i="6"/>
  <c r="L69" i="6"/>
  <c r="K28" i="3"/>
  <c r="M84" i="6"/>
  <c r="L63" i="3"/>
  <c r="L8" i="5"/>
  <c r="M69" i="6"/>
  <c r="L28" i="3"/>
  <c r="K253" i="6"/>
  <c r="K257" i="6" s="1"/>
  <c r="I65" i="3"/>
  <c r="K142" i="6"/>
  <c r="L137" i="6"/>
  <c r="L140" i="6" s="1"/>
  <c r="J69" i="3"/>
  <c r="L77" i="6"/>
  <c r="K25" i="3" s="1"/>
  <c r="J11" i="4"/>
  <c r="K23" i="5"/>
  <c r="J27" i="15"/>
  <c r="J26" i="3"/>
  <c r="K77" i="6"/>
  <c r="J25" i="3" s="1"/>
  <c r="K75" i="6"/>
  <c r="J24" i="3" s="1"/>
  <c r="D38" i="15"/>
  <c r="D41" i="15" s="1"/>
  <c r="D73" i="2"/>
  <c r="D39" i="15" s="1"/>
  <c r="M89" i="6"/>
  <c r="L62" i="3"/>
  <c r="L102" i="6"/>
  <c r="L104" i="6" s="1"/>
  <c r="J16" i="3"/>
  <c r="K105" i="6" s="1"/>
  <c r="K15" i="6"/>
  <c r="D56" i="5"/>
  <c r="E52" i="5"/>
  <c r="E54" i="5" s="1"/>
  <c r="I8" i="15"/>
  <c r="I7" i="15"/>
  <c r="I84" i="2"/>
  <c r="I24" i="4"/>
  <c r="I25" i="4" s="1"/>
  <c r="E38" i="15"/>
  <c r="E41" i="15" s="1"/>
  <c r="E73" i="2"/>
  <c r="E39" i="15" s="1"/>
  <c r="L5" i="12"/>
  <c r="G38" i="15"/>
  <c r="G41" i="15" s="1"/>
  <c r="G73" i="2"/>
  <c r="G39" i="15" s="1"/>
  <c r="F28" i="12"/>
  <c r="F29" i="12"/>
  <c r="G29" i="12" s="1"/>
  <c r="M73" i="6"/>
  <c r="H35" i="5"/>
  <c r="I46" i="15"/>
  <c r="I49" i="15"/>
  <c r="I45" i="15"/>
  <c r="J13" i="8"/>
  <c r="K5" i="8"/>
  <c r="K10" i="8" s="1"/>
  <c r="K254" i="6"/>
  <c r="N23" i="7"/>
  <c r="L26" i="2" s="1"/>
  <c r="K26" i="2"/>
  <c r="H14" i="4"/>
  <c r="H26" i="5"/>
  <c r="M9" i="6"/>
  <c r="M14" i="6" s="1"/>
  <c r="L7" i="6"/>
  <c r="I70" i="3"/>
  <c r="L15" i="2"/>
  <c r="L74" i="6"/>
  <c r="K23" i="3" s="1"/>
  <c r="K26" i="3"/>
  <c r="L130" i="6"/>
  <c r="L134" i="6" s="1"/>
  <c r="J68" i="3"/>
  <c r="I22" i="6"/>
  <c r="L84" i="6"/>
  <c r="K63" i="3"/>
  <c r="H50" i="12"/>
  <c r="K50" i="12" s="1"/>
  <c r="K59" i="12" s="1"/>
  <c r="P5" i="12"/>
  <c r="G180" i="6"/>
  <c r="G183" i="6" s="1"/>
  <c r="F190" i="6"/>
  <c r="F191" i="6" s="1"/>
  <c r="G39" i="7"/>
  <c r="G224" i="6"/>
  <c r="E39" i="7"/>
  <c r="E224" i="6"/>
  <c r="K17" i="6"/>
  <c r="K21" i="6" s="1"/>
  <c r="I9" i="3"/>
  <c r="I35" i="5" s="1"/>
  <c r="J25" i="6"/>
  <c r="J26" i="6" s="1"/>
  <c r="J30" i="6" s="1"/>
  <c r="J38" i="6" s="1"/>
  <c r="I31" i="2" s="1"/>
  <c r="I34" i="2" s="1"/>
  <c r="L24" i="5"/>
  <c r="M249" i="6"/>
  <c r="J209" i="6"/>
  <c r="H51" i="6"/>
  <c r="I42" i="6"/>
  <c r="H25" i="5"/>
  <c r="L21" i="2"/>
  <c r="K27" i="2"/>
  <c r="K19" i="2"/>
  <c r="K18" i="2"/>
  <c r="K20" i="2"/>
  <c r="L217" i="6"/>
  <c r="I200" i="6"/>
  <c r="J200" i="6" s="1"/>
  <c r="K8" i="5"/>
  <c r="I30" i="6"/>
  <c r="L27" i="6"/>
  <c r="I7" i="5" l="1"/>
  <c r="I28" i="4"/>
  <c r="I7" i="4"/>
  <c r="I36" i="2"/>
  <c r="J163" i="6"/>
  <c r="I91" i="2"/>
  <c r="I8" i="4"/>
  <c r="I29" i="4" s="1"/>
  <c r="K125" i="6"/>
  <c r="L110" i="6"/>
  <c r="L116" i="6" s="1"/>
  <c r="J53" i="3"/>
  <c r="J55" i="3" s="1"/>
  <c r="M24" i="6"/>
  <c r="L15" i="6"/>
  <c r="L142" i="6"/>
  <c r="M137" i="6"/>
  <c r="M140" i="6" s="1"/>
  <c r="K69" i="3"/>
  <c r="L26" i="3"/>
  <c r="M75" i="6"/>
  <c r="L24" i="3" s="1"/>
  <c r="J70" i="3"/>
  <c r="J26" i="15"/>
  <c r="J29" i="15" s="1"/>
  <c r="K22" i="5"/>
  <c r="J12" i="4"/>
  <c r="J25" i="15"/>
  <c r="J22" i="5"/>
  <c r="K68" i="3"/>
  <c r="M130" i="6"/>
  <c r="M134" i="6" s="1"/>
  <c r="L68" i="3" s="1"/>
  <c r="K74" i="6"/>
  <c r="J23" i="3" s="1"/>
  <c r="I228" i="6"/>
  <c r="I229" i="6" s="1"/>
  <c r="I47" i="6"/>
  <c r="L17" i="6"/>
  <c r="L21" i="6" s="1"/>
  <c r="K22" i="6"/>
  <c r="J9" i="3"/>
  <c r="K25" i="6"/>
  <c r="K26" i="6" s="1"/>
  <c r="K30" i="6" s="1"/>
  <c r="K38" i="6" s="1"/>
  <c r="J31" i="2" s="1"/>
  <c r="J34" i="2" s="1"/>
  <c r="H180" i="6"/>
  <c r="H183" i="6" s="1"/>
  <c r="G190" i="6"/>
  <c r="G191" i="6" s="1"/>
  <c r="K26" i="15"/>
  <c r="K12" i="4"/>
  <c r="K25" i="15"/>
  <c r="I14" i="4"/>
  <c r="I26" i="5"/>
  <c r="H91" i="2"/>
  <c r="I163" i="6"/>
  <c r="H8" i="4"/>
  <c r="H29" i="4" s="1"/>
  <c r="L13" i="4"/>
  <c r="L28" i="15"/>
  <c r="G28" i="12"/>
  <c r="F35" i="12"/>
  <c r="L253" i="6"/>
  <c r="J65" i="3"/>
  <c r="K258" i="6" s="1"/>
  <c r="K151" i="6"/>
  <c r="L146" i="6"/>
  <c r="L150" i="6" s="1"/>
  <c r="J12" i="3"/>
  <c r="J8" i="15"/>
  <c r="J7" i="15"/>
  <c r="J36" i="2"/>
  <c r="J84" i="2"/>
  <c r="J24" i="4"/>
  <c r="J25" i="4" s="1"/>
  <c r="J46" i="15"/>
  <c r="L5" i="8"/>
  <c r="L10" i="8" s="1"/>
  <c r="J49" i="15"/>
  <c r="J45" i="15"/>
  <c r="K13" i="8"/>
  <c r="L254" i="6"/>
  <c r="M7" i="6"/>
  <c r="L24" i="6"/>
  <c r="J258" i="6"/>
  <c r="M102" i="6"/>
  <c r="M104" i="6" s="1"/>
  <c r="K16" i="3"/>
  <c r="L105" i="6" s="1"/>
  <c r="K209" i="6"/>
  <c r="M77" i="6"/>
  <c r="L25" i="3" s="1"/>
  <c r="K11" i="4"/>
  <c r="K27" i="15"/>
  <c r="L23" i="5"/>
  <c r="I25" i="5"/>
  <c r="J22" i="6"/>
  <c r="I38" i="6"/>
  <c r="H31" i="2" s="1"/>
  <c r="H34" i="2" s="1"/>
  <c r="I32" i="6"/>
  <c r="K66" i="3"/>
  <c r="K29" i="2"/>
  <c r="K13" i="4"/>
  <c r="K28" i="15"/>
  <c r="M217" i="6"/>
  <c r="L27" i="2"/>
  <c r="L19" i="2"/>
  <c r="L20" i="2"/>
  <c r="L18" i="2"/>
  <c r="L16" i="2"/>
  <c r="K200" i="6"/>
  <c r="E56" i="5"/>
  <c r="F52" i="5"/>
  <c r="F54" i="5" s="1"/>
  <c r="L17" i="2"/>
  <c r="L11" i="4"/>
  <c r="L27" i="15"/>
  <c r="J117" i="6"/>
  <c r="M146" i="6" l="1"/>
  <c r="M150" i="6" s="1"/>
  <c r="K12" i="3"/>
  <c r="L151" i="6" s="1"/>
  <c r="J35" i="5"/>
  <c r="L200" i="6"/>
  <c r="L16" i="3"/>
  <c r="M105" i="6" s="1"/>
  <c r="M17" i="6"/>
  <c r="M21" i="6" s="1"/>
  <c r="K9" i="3"/>
  <c r="L25" i="6"/>
  <c r="M15" i="6"/>
  <c r="L26" i="15"/>
  <c r="L29" i="15" s="1"/>
  <c r="L12" i="4"/>
  <c r="L25" i="15"/>
  <c r="L209" i="6"/>
  <c r="L257" i="6"/>
  <c r="L22" i="5"/>
  <c r="I50" i="6"/>
  <c r="H61" i="3" s="1"/>
  <c r="H72" i="3" s="1"/>
  <c r="I49" i="6"/>
  <c r="H48" i="3" s="1"/>
  <c r="J42" i="6"/>
  <c r="M74" i="6"/>
  <c r="L23" i="3" s="1"/>
  <c r="K117" i="6"/>
  <c r="M200" i="6"/>
  <c r="J25" i="5"/>
  <c r="J29" i="6"/>
  <c r="J32" i="6" s="1"/>
  <c r="H93" i="2"/>
  <c r="H95" i="2" s="1"/>
  <c r="I6" i="6"/>
  <c r="I5" i="6" s="1"/>
  <c r="H5" i="3" s="1"/>
  <c r="H7" i="3" s="1"/>
  <c r="H20" i="3" s="1"/>
  <c r="I35" i="6"/>
  <c r="I36" i="6" s="1"/>
  <c r="J9" i="15"/>
  <c r="J85" i="2"/>
  <c r="J26" i="4"/>
  <c r="J27" i="4" s="1"/>
  <c r="J4" i="4"/>
  <c r="J34" i="15"/>
  <c r="K29" i="15"/>
  <c r="L125" i="6"/>
  <c r="M110" i="6"/>
  <c r="M116" i="6" s="1"/>
  <c r="K53" i="3"/>
  <c r="K55" i="3" s="1"/>
  <c r="I9" i="15"/>
  <c r="I85" i="2"/>
  <c r="I4" i="4"/>
  <c r="I31" i="5"/>
  <c r="I26" i="4"/>
  <c r="I27" i="4" s="1"/>
  <c r="I34" i="15"/>
  <c r="K8" i="15"/>
  <c r="K7" i="15"/>
  <c r="K24" i="4"/>
  <c r="K25" i="4" s="1"/>
  <c r="K84" i="2"/>
  <c r="K36" i="2"/>
  <c r="C7" i="14"/>
  <c r="G35" i="12"/>
  <c r="C16" i="14"/>
  <c r="F16" i="14" s="1"/>
  <c r="M142" i="6"/>
  <c r="L69" i="3"/>
  <c r="J14" i="4"/>
  <c r="J26" i="5"/>
  <c r="L66" i="3"/>
  <c r="L29" i="2"/>
  <c r="H7" i="5"/>
  <c r="H28" i="4"/>
  <c r="H7" i="4"/>
  <c r="H36" i="2"/>
  <c r="I180" i="6"/>
  <c r="H190" i="6"/>
  <c r="H191" i="6" s="1"/>
  <c r="F56" i="5"/>
  <c r="G52" i="5"/>
  <c r="G54" i="5" s="1"/>
  <c r="L70" i="3"/>
  <c r="L26" i="6"/>
  <c r="L30" i="6" s="1"/>
  <c r="L38" i="6" s="1"/>
  <c r="K31" i="2" s="1"/>
  <c r="K34" i="2" s="1"/>
  <c r="K49" i="15"/>
  <c r="K45" i="15"/>
  <c r="K46" i="15"/>
  <c r="L13" i="8"/>
  <c r="M254" i="6"/>
  <c r="J7" i="5"/>
  <c r="J31" i="5" s="1"/>
  <c r="J28" i="4"/>
  <c r="J7" i="4"/>
  <c r="K70" i="3"/>
  <c r="K35" i="5" l="1"/>
  <c r="M209" i="6"/>
  <c r="G56" i="5"/>
  <c r="H52" i="5"/>
  <c r="J47" i="6"/>
  <c r="J228" i="6" s="1"/>
  <c r="J229" i="6" s="1"/>
  <c r="L22" i="6"/>
  <c r="K28" i="4"/>
  <c r="K7" i="5"/>
  <c r="K7" i="4"/>
  <c r="K163" i="6"/>
  <c r="J91" i="2"/>
  <c r="J8" i="4"/>
  <c r="J29" i="4" s="1"/>
  <c r="K25" i="5"/>
  <c r="J6" i="6"/>
  <c r="J5" i="6" s="1"/>
  <c r="I5" i="3" s="1"/>
  <c r="I7" i="3" s="1"/>
  <c r="I20" i="3" s="1"/>
  <c r="J33" i="6"/>
  <c r="I93" i="2"/>
  <c r="I95" i="2" s="1"/>
  <c r="K29" i="6"/>
  <c r="K32" i="6" s="1"/>
  <c r="J35" i="6"/>
  <c r="J36" i="6" s="1"/>
  <c r="E39" i="9"/>
  <c r="D39" i="9"/>
  <c r="K49" i="10"/>
  <c r="H58" i="3"/>
  <c r="H74" i="3" s="1"/>
  <c r="L9" i="3"/>
  <c r="M22" i="6" s="1"/>
  <c r="M25" i="6"/>
  <c r="M26" i="6" s="1"/>
  <c r="M30" i="6" s="1"/>
  <c r="M38" i="6" s="1"/>
  <c r="L31" i="2" s="1"/>
  <c r="L34" i="2" s="1"/>
  <c r="K9" i="15"/>
  <c r="K4" i="4"/>
  <c r="K85" i="2"/>
  <c r="K26" i="4"/>
  <c r="K27" i="4" s="1"/>
  <c r="K34" i="15"/>
  <c r="M253" i="6"/>
  <c r="M257" i="6" s="1"/>
  <c r="K65" i="3"/>
  <c r="L258" i="6" s="1"/>
  <c r="H9" i="15"/>
  <c r="H31" i="5"/>
  <c r="I223" i="6" s="1"/>
  <c r="H4" i="4"/>
  <c r="H85" i="2"/>
  <c r="H26" i="4"/>
  <c r="H27" i="4" s="1"/>
  <c r="H34" i="15"/>
  <c r="L117" i="6"/>
  <c r="I33" i="6"/>
  <c r="M151" i="6"/>
  <c r="L12" i="3"/>
  <c r="L8" i="15"/>
  <c r="L7" i="15"/>
  <c r="L84" i="2"/>
  <c r="L36" i="2"/>
  <c r="L24" i="4"/>
  <c r="L25" i="4" s="1"/>
  <c r="F7" i="14"/>
  <c r="E7" i="14"/>
  <c r="M125" i="6"/>
  <c r="L53" i="3"/>
  <c r="L55" i="3" s="1"/>
  <c r="M117" i="6"/>
  <c r="I51" i="6"/>
  <c r="L35" i="5" l="1"/>
  <c r="I39" i="7"/>
  <c r="I225" i="6"/>
  <c r="H44" i="2" s="1"/>
  <c r="H48" i="2" s="1"/>
  <c r="H53" i="2" s="1"/>
  <c r="L9" i="15"/>
  <c r="L85" i="2"/>
  <c r="L26" i="4"/>
  <c r="L27" i="4" s="1"/>
  <c r="L4" i="4"/>
  <c r="L34" i="15"/>
  <c r="K6" i="6"/>
  <c r="K5" i="6" s="1"/>
  <c r="J5" i="3" s="1"/>
  <c r="J7" i="3" s="1"/>
  <c r="J20" i="3" s="1"/>
  <c r="L29" i="6"/>
  <c r="L32" i="6" s="1"/>
  <c r="J93" i="2"/>
  <c r="J95" i="2" s="1"/>
  <c r="K33" i="6"/>
  <c r="K35" i="6"/>
  <c r="J50" i="6"/>
  <c r="I61" i="3" s="1"/>
  <c r="I72" i="3" s="1"/>
  <c r="J49" i="6"/>
  <c r="I48" i="3" s="1"/>
  <c r="K42" i="6"/>
  <c r="J51" i="6"/>
  <c r="D40" i="9"/>
  <c r="E42" i="9" s="1"/>
  <c r="E40" i="9"/>
  <c r="K14" i="4"/>
  <c r="K26" i="5"/>
  <c r="K31" i="5" s="1"/>
  <c r="L163" i="6"/>
  <c r="K8" i="4"/>
  <c r="K29" i="4" s="1"/>
  <c r="K91" i="2"/>
  <c r="L65" i="3"/>
  <c r="L25" i="5"/>
  <c r="L7" i="5"/>
  <c r="L28" i="4"/>
  <c r="L7" i="4"/>
  <c r="D41" i="9" l="1"/>
  <c r="E41" i="9"/>
  <c r="I58" i="3"/>
  <c r="I74" i="3" s="1"/>
  <c r="H10" i="15"/>
  <c r="I208" i="6"/>
  <c r="H4" i="5"/>
  <c r="H19" i="5" s="1"/>
  <c r="H27" i="5" s="1"/>
  <c r="H86" i="2"/>
  <c r="M163" i="6"/>
  <c r="L91" i="2"/>
  <c r="L8" i="4"/>
  <c r="L29" i="4" s="1"/>
  <c r="L6" i="6"/>
  <c r="L5" i="6" s="1"/>
  <c r="K5" i="3" s="1"/>
  <c r="K7" i="3" s="1"/>
  <c r="K20" i="3" s="1"/>
  <c r="M29" i="6"/>
  <c r="M32" i="6" s="1"/>
  <c r="K93" i="2"/>
  <c r="K95" i="2" s="1"/>
  <c r="L35" i="6"/>
  <c r="L36" i="6" s="1"/>
  <c r="K47" i="6"/>
  <c r="K228" i="6" s="1"/>
  <c r="K229" i="6" s="1"/>
  <c r="L14" i="4"/>
  <c r="L26" i="5"/>
  <c r="L31" i="5" s="1"/>
  <c r="M258" i="6"/>
  <c r="D42" i="9"/>
  <c r="K36" i="6"/>
  <c r="M6" i="6" l="1"/>
  <c r="M5" i="6" s="1"/>
  <c r="L5" i="3" s="1"/>
  <c r="L7" i="3" s="1"/>
  <c r="L20" i="3" s="1"/>
  <c r="L93" i="2"/>
  <c r="L95" i="2" s="1"/>
  <c r="M35" i="6"/>
  <c r="M36" i="6" s="1"/>
  <c r="K49" i="6"/>
  <c r="J48" i="3" s="1"/>
  <c r="L42" i="6"/>
  <c r="K50" i="6"/>
  <c r="J61" i="3" s="1"/>
  <c r="J72" i="3" s="1"/>
  <c r="L33" i="6"/>
  <c r="I210" i="6"/>
  <c r="I216" i="6"/>
  <c r="H29" i="5" s="1"/>
  <c r="H30" i="5" s="1"/>
  <c r="D45" i="9"/>
  <c r="I162" i="6" l="1"/>
  <c r="L47" i="6"/>
  <c r="C6" i="10"/>
  <c r="K6" i="10"/>
  <c r="M33" i="6"/>
  <c r="K51" i="6"/>
  <c r="J58" i="3"/>
  <c r="J74" i="3" s="1"/>
  <c r="I212" i="6"/>
  <c r="H55" i="2" s="1"/>
  <c r="H58" i="2"/>
  <c r="H5" i="4" l="1"/>
  <c r="H59" i="2"/>
  <c r="E15" i="10"/>
  <c r="H15" i="10"/>
  <c r="G15" i="10"/>
  <c r="F15" i="10"/>
  <c r="D15" i="10"/>
  <c r="I22" i="10"/>
  <c r="M42" i="6"/>
  <c r="L50" i="6"/>
  <c r="K61" i="3" s="1"/>
  <c r="K72" i="3" s="1"/>
  <c r="L228" i="6"/>
  <c r="L229" i="6" s="1"/>
  <c r="L49" i="6" l="1"/>
  <c r="I181" i="6"/>
  <c r="I195" i="6"/>
  <c r="H63" i="2"/>
  <c r="M47" i="6"/>
  <c r="H30" i="4"/>
  <c r="H6" i="4"/>
  <c r="M50" i="6" l="1"/>
  <c r="L61" i="3" s="1"/>
  <c r="L72" i="3" s="1"/>
  <c r="M49" i="6"/>
  <c r="L48" i="3" s="1"/>
  <c r="M228" i="6"/>
  <c r="M229" i="6" s="1"/>
  <c r="H11" i="15"/>
  <c r="H71" i="2"/>
  <c r="H87" i="2"/>
  <c r="H72" i="2"/>
  <c r="H64" i="2"/>
  <c r="I198" i="6"/>
  <c r="I201" i="6"/>
  <c r="K48" i="3"/>
  <c r="L51" i="6"/>
  <c r="M51" i="6" l="1"/>
  <c r="K58" i="3"/>
  <c r="K74" i="3" s="1"/>
  <c r="I182" i="6"/>
  <c r="D5" i="11"/>
  <c r="H75" i="2"/>
  <c r="H79" i="2" s="1"/>
  <c r="H45" i="5"/>
  <c r="H48" i="5" s="1"/>
  <c r="I203" i="6"/>
  <c r="H77" i="2"/>
  <c r="L58" i="3"/>
  <c r="L74" i="3" s="1"/>
  <c r="D10" i="11"/>
  <c r="E10" i="11" s="1"/>
  <c r="H38" i="15"/>
  <c r="H41" i="15" s="1"/>
  <c r="H73" i="2"/>
  <c r="H39" i="15" s="1"/>
  <c r="D6" i="11" l="1"/>
  <c r="D13" i="11" s="1"/>
  <c r="D14" i="11" s="1"/>
  <c r="E6" i="11"/>
  <c r="E13" i="11" s="1"/>
  <c r="E5" i="11"/>
  <c r="I40" i="15"/>
  <c r="H76" i="2"/>
  <c r="H80" i="2" s="1"/>
  <c r="I164" i="6"/>
  <c r="I166" i="6" s="1"/>
  <c r="I168" i="6" s="1"/>
  <c r="I183" i="6"/>
  <c r="H89" i="2"/>
  <c r="H81" i="2"/>
  <c r="H82" i="2" s="1"/>
  <c r="J160" i="6" l="1"/>
  <c r="I169" i="6"/>
  <c r="J180" i="6"/>
  <c r="I190" i="6"/>
  <c r="I191" i="6" s="1"/>
  <c r="H44" i="3"/>
  <c r="H45" i="3" s="1"/>
  <c r="D16" i="11"/>
  <c r="D28" i="11"/>
  <c r="J223" i="6" l="1"/>
  <c r="J225" i="6" s="1"/>
  <c r="I44" i="2" s="1"/>
  <c r="I48" i="2" s="1"/>
  <c r="I53" i="2" s="1"/>
  <c r="J157" i="6"/>
  <c r="H29" i="3"/>
  <c r="I170" i="6"/>
  <c r="H42" i="15"/>
  <c r="H76" i="3"/>
  <c r="H32" i="15"/>
  <c r="D23" i="9"/>
  <c r="E23" i="9"/>
  <c r="E25" i="9" s="1"/>
  <c r="E26" i="9" s="1"/>
  <c r="D30" i="9" s="1"/>
  <c r="H12" i="15"/>
  <c r="K48" i="10" l="1"/>
  <c r="J159" i="6"/>
  <c r="H30" i="3"/>
  <c r="I10" i="15"/>
  <c r="J208" i="6"/>
  <c r="I4" i="5"/>
  <c r="I19" i="5" s="1"/>
  <c r="I27" i="5" s="1"/>
  <c r="I86" i="2"/>
  <c r="E7" i="11"/>
  <c r="D46" i="9"/>
  <c r="H21" i="15"/>
  <c r="H20" i="15"/>
  <c r="H19" i="15"/>
  <c r="K46" i="10"/>
  <c r="J216" i="6" l="1"/>
  <c r="I29" i="5" s="1"/>
  <c r="I30" i="5" s="1"/>
  <c r="J210" i="6"/>
  <c r="K47" i="10"/>
  <c r="K51" i="10" s="1"/>
  <c r="H40" i="5"/>
  <c r="H42" i="5" s="1"/>
  <c r="I172" i="6"/>
  <c r="K7" i="10"/>
  <c r="C7" i="10"/>
  <c r="D47" i="9"/>
  <c r="E47" i="9" s="1"/>
  <c r="H33" i="15"/>
  <c r="E9" i="11"/>
  <c r="E14" i="11" s="1"/>
  <c r="J162" i="6" l="1"/>
  <c r="H50" i="5"/>
  <c r="H53" i="5" s="1"/>
  <c r="H54" i="5" s="1"/>
  <c r="H49" i="5"/>
  <c r="H223" i="6" s="1"/>
  <c r="D31" i="10"/>
  <c r="I38" i="10"/>
  <c r="G31" i="10"/>
  <c r="F31" i="10"/>
  <c r="E31" i="10"/>
  <c r="H31" i="10"/>
  <c r="E28" i="11"/>
  <c r="E16" i="11"/>
  <c r="J212" i="6"/>
  <c r="I55" i="2" s="1"/>
  <c r="I58" i="2"/>
  <c r="H39" i="7" l="1"/>
  <c r="H224" i="6"/>
  <c r="I5" i="4"/>
  <c r="I59" i="2"/>
  <c r="H56" i="5"/>
  <c r="I52" i="5"/>
  <c r="I30" i="4" l="1"/>
  <c r="I6" i="4"/>
  <c r="J181" i="6"/>
  <c r="J195" i="6"/>
  <c r="I63" i="2"/>
  <c r="J39" i="7"/>
  <c r="H32" i="3" l="1"/>
  <c r="K39" i="7"/>
  <c r="I11" i="15"/>
  <c r="I64" i="2"/>
  <c r="I87" i="2"/>
  <c r="I71" i="2"/>
  <c r="I72" i="2"/>
  <c r="J198" i="6"/>
  <c r="J201" i="6"/>
  <c r="J182" i="6" l="1"/>
  <c r="I75" i="2"/>
  <c r="I79" i="2" s="1"/>
  <c r="I45" i="5"/>
  <c r="I48" i="5" s="1"/>
  <c r="H15" i="4"/>
  <c r="H16" i="4" s="1"/>
  <c r="H18" i="4" s="1"/>
  <c r="H36" i="3"/>
  <c r="J203" i="6"/>
  <c r="I77" i="2"/>
  <c r="N39" i="7"/>
  <c r="I32" i="3"/>
  <c r="I15" i="4" s="1"/>
  <c r="I16" i="4" s="1"/>
  <c r="I18" i="4" s="1"/>
  <c r="I38" i="15"/>
  <c r="I41" i="15" s="1"/>
  <c r="I73" i="2"/>
  <c r="I39" i="15" s="1"/>
  <c r="L39" i="7"/>
  <c r="M39" i="7"/>
  <c r="I89" i="2" l="1"/>
  <c r="I81" i="2"/>
  <c r="I82" i="2" s="1"/>
  <c r="H18" i="15"/>
  <c r="H17" i="15"/>
  <c r="H38" i="3"/>
  <c r="J40" i="15"/>
  <c r="I76" i="2"/>
  <c r="I80" i="2" s="1"/>
  <c r="D11" i="10"/>
  <c r="H20" i="4"/>
  <c r="H19" i="4"/>
  <c r="E11" i="10"/>
  <c r="I19" i="4"/>
  <c r="I20" i="4"/>
  <c r="J164" i="6"/>
  <c r="J166" i="6" s="1"/>
  <c r="J168" i="6" s="1"/>
  <c r="J183" i="6"/>
  <c r="H78" i="3" l="1"/>
  <c r="H24" i="15"/>
  <c r="H35" i="15"/>
  <c r="H14" i="15"/>
  <c r="H13" i="15"/>
  <c r="J190" i="6"/>
  <c r="K180" i="6"/>
  <c r="I44" i="3"/>
  <c r="I45" i="3" s="1"/>
  <c r="E16" i="10"/>
  <c r="E32" i="10"/>
  <c r="D32" i="10"/>
  <c r="D16" i="10"/>
  <c r="J170" i="6"/>
  <c r="K160" i="6"/>
  <c r="J169" i="6"/>
  <c r="I42" i="15" l="1"/>
  <c r="I76" i="3"/>
  <c r="I32" i="15"/>
  <c r="I12" i="15"/>
  <c r="K159" i="6"/>
  <c r="I30" i="3"/>
  <c r="I40" i="5" s="1"/>
  <c r="I42" i="5" s="1"/>
  <c r="I50" i="5" s="1"/>
  <c r="I53" i="5" s="1"/>
  <c r="I54" i="5" s="1"/>
  <c r="J191" i="6"/>
  <c r="K157" i="6"/>
  <c r="I29" i="3"/>
  <c r="K223" i="6"/>
  <c r="K225" i="6" l="1"/>
  <c r="J44" i="2" s="1"/>
  <c r="J48" i="2" s="1"/>
  <c r="J53" i="2" s="1"/>
  <c r="J32" i="3"/>
  <c r="J15" i="4" s="1"/>
  <c r="J16" i="4" s="1"/>
  <c r="I21" i="15"/>
  <c r="I20" i="15"/>
  <c r="I19" i="15"/>
  <c r="I49" i="5"/>
  <c r="I36" i="3"/>
  <c r="I33" i="15"/>
  <c r="J172" i="6"/>
  <c r="J52" i="5"/>
  <c r="I56" i="5"/>
  <c r="I17" i="15" l="1"/>
  <c r="I18" i="15"/>
  <c r="I38" i="3"/>
  <c r="J10" i="15"/>
  <c r="K208" i="6"/>
  <c r="J4" i="5"/>
  <c r="J19" i="5" s="1"/>
  <c r="J27" i="5" s="1"/>
  <c r="J86" i="2"/>
  <c r="K216" i="6" l="1"/>
  <c r="J29" i="5" s="1"/>
  <c r="J30" i="5" s="1"/>
  <c r="K210" i="6"/>
  <c r="I78" i="3"/>
  <c r="I24" i="15"/>
  <c r="I14" i="15"/>
  <c r="I35" i="15"/>
  <c r="I13" i="15"/>
  <c r="K162" i="6" l="1"/>
  <c r="K212" i="6"/>
  <c r="J55" i="2" s="1"/>
  <c r="J58" i="2"/>
  <c r="J5" i="4" l="1"/>
  <c r="J59" i="2"/>
  <c r="K195" i="6" l="1"/>
  <c r="K181" i="6"/>
  <c r="J63" i="2"/>
  <c r="J30" i="4"/>
  <c r="J6" i="4"/>
  <c r="J18" i="4" s="1"/>
  <c r="F11" i="10" l="1"/>
  <c r="J20" i="4"/>
  <c r="J19" i="4"/>
  <c r="J11" i="15"/>
  <c r="J72" i="2"/>
  <c r="J87" i="2"/>
  <c r="J64" i="2"/>
  <c r="J71" i="2"/>
  <c r="K198" i="6"/>
  <c r="K201" i="6"/>
  <c r="K182" i="6" l="1"/>
  <c r="J75" i="2"/>
  <c r="J79" i="2" s="1"/>
  <c r="J45" i="5"/>
  <c r="J48" i="5" s="1"/>
  <c r="K203" i="6"/>
  <c r="J77" i="2"/>
  <c r="J38" i="15"/>
  <c r="J41" i="15" s="1"/>
  <c r="J73" i="2"/>
  <c r="J39" i="15" s="1"/>
  <c r="F16" i="10"/>
  <c r="F32" i="10"/>
  <c r="K40" i="15" l="1"/>
  <c r="J76" i="2"/>
  <c r="J80" i="2" s="1"/>
  <c r="J81" i="2"/>
  <c r="J82" i="2" s="1"/>
  <c r="J89" i="2"/>
  <c r="K164" i="6"/>
  <c r="K166" i="6" s="1"/>
  <c r="K168" i="6" s="1"/>
  <c r="K183" i="6"/>
  <c r="L160" i="6" l="1"/>
  <c r="K169" i="6"/>
  <c r="K190" i="6"/>
  <c r="L180" i="6"/>
  <c r="J44" i="3"/>
  <c r="J45" i="3" s="1"/>
  <c r="K191" i="6" l="1"/>
  <c r="J42" i="15"/>
  <c r="J76" i="3"/>
  <c r="J32" i="15"/>
  <c r="J12" i="15"/>
  <c r="L157" i="6"/>
  <c r="J29" i="3"/>
  <c r="L223" i="6"/>
  <c r="K170" i="6"/>
  <c r="J20" i="15" l="1"/>
  <c r="J19" i="15"/>
  <c r="J49" i="5"/>
  <c r="J36" i="3"/>
  <c r="J33" i="15"/>
  <c r="K172" i="6"/>
  <c r="L159" i="6"/>
  <c r="J30" i="3"/>
  <c r="J40" i="5" s="1"/>
  <c r="J42" i="5" s="1"/>
  <c r="J50" i="5" s="1"/>
  <c r="J53" i="5" s="1"/>
  <c r="J54" i="5" s="1"/>
  <c r="L225" i="6"/>
  <c r="K44" i="2" s="1"/>
  <c r="K48" i="2" s="1"/>
  <c r="K53" i="2" s="1"/>
  <c r="K32" i="3"/>
  <c r="K15" i="4" s="1"/>
  <c r="K16" i="4" s="1"/>
  <c r="J17" i="15" l="1"/>
  <c r="J18" i="15"/>
  <c r="J38" i="3"/>
  <c r="K10" i="15"/>
  <c r="L208" i="6"/>
  <c r="K4" i="5"/>
  <c r="K19" i="5" s="1"/>
  <c r="K27" i="5" s="1"/>
  <c r="K86" i="2"/>
  <c r="K52" i="5"/>
  <c r="J56" i="5"/>
  <c r="J21" i="15"/>
  <c r="J78" i="3" l="1"/>
  <c r="J24" i="15"/>
  <c r="J14" i="15"/>
  <c r="J35" i="15"/>
  <c r="J13" i="15"/>
  <c r="L216" i="6"/>
  <c r="K29" i="5" s="1"/>
  <c r="K30" i="5" s="1"/>
  <c r="L210" i="6"/>
  <c r="L162" i="6" l="1"/>
  <c r="L212" i="6"/>
  <c r="K55" i="2" s="1"/>
  <c r="K58" i="2"/>
  <c r="K5" i="4" l="1"/>
  <c r="K59" i="2"/>
  <c r="L195" i="6" l="1"/>
  <c r="L181" i="6"/>
  <c r="K63" i="2"/>
  <c r="K30" i="4"/>
  <c r="K6" i="4"/>
  <c r="K18" i="4" s="1"/>
  <c r="G11" i="10" l="1"/>
  <c r="K19" i="4"/>
  <c r="K20" i="4"/>
  <c r="K11" i="15"/>
  <c r="K87" i="2"/>
  <c r="K64" i="2"/>
  <c r="K71" i="2"/>
  <c r="K72" i="2"/>
  <c r="L198" i="6"/>
  <c r="L201" i="6"/>
  <c r="L182" i="6" l="1"/>
  <c r="K75" i="2"/>
  <c r="K79" i="2" s="1"/>
  <c r="K45" i="5"/>
  <c r="K48" i="5" s="1"/>
  <c r="L203" i="6"/>
  <c r="K77" i="2"/>
  <c r="K38" i="15"/>
  <c r="K41" i="15" s="1"/>
  <c r="K73" i="2"/>
  <c r="K39" i="15" s="1"/>
  <c r="G32" i="10"/>
  <c r="G16" i="10"/>
  <c r="K89" i="2" l="1"/>
  <c r="K81" i="2"/>
  <c r="K82" i="2" s="1"/>
  <c r="L40" i="15"/>
  <c r="K76" i="2"/>
  <c r="K80" i="2" s="1"/>
  <c r="L164" i="6"/>
  <c r="L166" i="6" s="1"/>
  <c r="L168" i="6" s="1"/>
  <c r="L183" i="6"/>
  <c r="M160" i="6" l="1"/>
  <c r="L169" i="6"/>
  <c r="M180" i="6"/>
  <c r="L190" i="6"/>
  <c r="K44" i="3"/>
  <c r="K45" i="3" s="1"/>
  <c r="K42" i="15" l="1"/>
  <c r="K76" i="3"/>
  <c r="K32" i="15"/>
  <c r="K12" i="15"/>
  <c r="L191" i="6"/>
  <c r="M157" i="6"/>
  <c r="K29" i="3"/>
  <c r="M223" i="6"/>
  <c r="L170" i="6"/>
  <c r="M159" i="6" l="1"/>
  <c r="K30" i="3"/>
  <c r="K40" i="5" s="1"/>
  <c r="K42" i="5" s="1"/>
  <c r="K50" i="5" s="1"/>
  <c r="K53" i="5" s="1"/>
  <c r="K54" i="5" s="1"/>
  <c r="K20" i="15"/>
  <c r="K19" i="15"/>
  <c r="K21" i="15"/>
  <c r="K49" i="5"/>
  <c r="K36" i="3"/>
  <c r="K33" i="15"/>
  <c r="L172" i="6"/>
  <c r="M225" i="6"/>
  <c r="L44" i="2" s="1"/>
  <c r="L48" i="2" s="1"/>
  <c r="L53" i="2" s="1"/>
  <c r="L32" i="3"/>
  <c r="L15" i="4" s="1"/>
  <c r="L16" i="4" s="1"/>
  <c r="K18" i="15" l="1"/>
  <c r="K17" i="15"/>
  <c r="K38" i="3"/>
  <c r="L10" i="15"/>
  <c r="M208" i="6"/>
  <c r="L86" i="2"/>
  <c r="L4" i="5"/>
  <c r="L19" i="5" s="1"/>
  <c r="L27" i="5" s="1"/>
  <c r="L52" i="5"/>
  <c r="K56" i="5"/>
  <c r="K78" i="3" l="1"/>
  <c r="K24" i="15"/>
  <c r="K14" i="15"/>
  <c r="K35" i="15"/>
  <c r="K13" i="15"/>
  <c r="M216" i="6"/>
  <c r="L29" i="5" s="1"/>
  <c r="L30" i="5" s="1"/>
  <c r="M210" i="6"/>
  <c r="M162" i="6" l="1"/>
  <c r="M212" i="6"/>
  <c r="L55" i="2" s="1"/>
  <c r="L58" i="2"/>
  <c r="L5" i="4" l="1"/>
  <c r="L59" i="2"/>
  <c r="M195" i="6" l="1"/>
  <c r="M181" i="6"/>
  <c r="L63" i="2"/>
  <c r="L30" i="4"/>
  <c r="L6" i="4"/>
  <c r="L18" i="4" s="1"/>
  <c r="H11" i="10" l="1"/>
  <c r="L19" i="4"/>
  <c r="L20" i="4"/>
  <c r="L11" i="15"/>
  <c r="L71" i="2"/>
  <c r="L72" i="2"/>
  <c r="L87" i="2"/>
  <c r="L64" i="2"/>
  <c r="M198" i="6"/>
  <c r="M201" i="6"/>
  <c r="L38" i="15" l="1"/>
  <c r="L41" i="15" s="1"/>
  <c r="L73" i="2"/>
  <c r="L39" i="15" s="1"/>
  <c r="M182" i="6"/>
  <c r="L75" i="2"/>
  <c r="L79" i="2" s="1"/>
  <c r="L45" i="5"/>
  <c r="L48" i="5" s="1"/>
  <c r="H16" i="10"/>
  <c r="K17" i="10" s="1"/>
  <c r="K27" i="10" s="1"/>
  <c r="K53" i="10" s="1"/>
  <c r="K59" i="10" s="1"/>
  <c r="I36" i="10"/>
  <c r="I37" i="10" s="1"/>
  <c r="K39" i="10" s="1"/>
  <c r="K40" i="10" s="1"/>
  <c r="I20" i="10"/>
  <c r="I21" i="10" s="1"/>
  <c r="K23" i="10" s="1"/>
  <c r="H32" i="10"/>
  <c r="K33" i="10" s="1"/>
  <c r="D7" i="13"/>
  <c r="E9" i="13"/>
  <c r="J12" i="13"/>
  <c r="I6" i="13"/>
  <c r="G11" i="13"/>
  <c r="F8" i="13"/>
  <c r="G10" i="13"/>
  <c r="H8" i="13"/>
  <c r="G7" i="13"/>
  <c r="J7" i="13"/>
  <c r="E6" i="13"/>
  <c r="D12" i="13"/>
  <c r="I7" i="13"/>
  <c r="H11" i="13"/>
  <c r="I12" i="13"/>
  <c r="H9" i="13"/>
  <c r="D10" i="13"/>
  <c r="E12" i="13"/>
  <c r="D9" i="13"/>
  <c r="I8" i="13"/>
  <c r="J6" i="13"/>
  <c r="G6" i="13"/>
  <c r="I11" i="13"/>
  <c r="I9" i="13"/>
  <c r="E7" i="13"/>
  <c r="J10" i="13"/>
  <c r="J11" i="13"/>
  <c r="J9" i="13"/>
  <c r="F12" i="13"/>
  <c r="G8" i="13"/>
  <c r="H12" i="13"/>
  <c r="J8" i="13"/>
  <c r="F9" i="13"/>
  <c r="D11" i="13"/>
  <c r="F10" i="13"/>
  <c r="G12" i="13"/>
  <c r="H10" i="13"/>
  <c r="D6" i="13"/>
  <c r="E8" i="13"/>
  <c r="F11" i="13"/>
  <c r="K11" i="10"/>
  <c r="F7" i="13"/>
  <c r="H6" i="13"/>
  <c r="G9" i="13"/>
  <c r="D8" i="13"/>
  <c r="E11" i="13"/>
  <c r="F6" i="13"/>
  <c r="I10" i="13"/>
  <c r="E10" i="13"/>
  <c r="H7" i="13"/>
  <c r="M203" i="6"/>
  <c r="L76" i="2" s="1"/>
  <c r="L80" i="2" s="1"/>
  <c r="L77" i="2"/>
  <c r="M164" i="6" l="1"/>
  <c r="M166" i="6" s="1"/>
  <c r="M168" i="6" s="1"/>
  <c r="M183" i="6"/>
  <c r="D20" i="11"/>
  <c r="C5" i="14"/>
  <c r="C14" i="14"/>
  <c r="F14" i="14" s="1"/>
  <c r="K64" i="10"/>
  <c r="K43" i="10"/>
  <c r="K54" i="10" s="1"/>
  <c r="K60" i="10" s="1"/>
  <c r="L81" i="2"/>
  <c r="L82" i="2" s="1"/>
  <c r="L89" i="2"/>
  <c r="K24" i="10"/>
  <c r="C6" i="14" l="1"/>
  <c r="K65" i="10"/>
  <c r="F5" i="14"/>
  <c r="E5" i="14"/>
  <c r="E20" i="11"/>
  <c r="E23" i="11" s="1"/>
  <c r="D23" i="11"/>
  <c r="M190" i="6"/>
  <c r="L44" i="3"/>
  <c r="L45" i="3" s="1"/>
  <c r="M169" i="6"/>
  <c r="L29" i="3" s="1"/>
  <c r="M191" i="6" l="1"/>
  <c r="D24" i="11"/>
  <c r="D29" i="11"/>
  <c r="L42" i="15"/>
  <c r="L76" i="3"/>
  <c r="L32" i="15"/>
  <c r="L12" i="15"/>
  <c r="E29" i="11"/>
  <c r="E24" i="11"/>
  <c r="L20" i="15"/>
  <c r="L19" i="15"/>
  <c r="L21" i="15"/>
  <c r="L49" i="5"/>
  <c r="L36" i="3"/>
  <c r="L33" i="15"/>
  <c r="M170" i="6"/>
  <c r="L30" i="3" s="1"/>
  <c r="L40" i="5" s="1"/>
  <c r="L42" i="5" s="1"/>
  <c r="L50" i="5" s="1"/>
  <c r="L53" i="5" s="1"/>
  <c r="L54" i="5" s="1"/>
  <c r="L56" i="5" s="1"/>
  <c r="M172" i="6"/>
  <c r="F6" i="14"/>
  <c r="E6" i="14"/>
  <c r="D33" i="11" l="1"/>
  <c r="D30" i="11"/>
  <c r="C8" i="14" s="1"/>
  <c r="L18" i="15"/>
  <c r="L17" i="15"/>
  <c r="L38" i="3"/>
  <c r="E33" i="11"/>
  <c r="E30" i="11"/>
  <c r="F8" i="14" l="1"/>
  <c r="E8" i="14"/>
  <c r="C10" i="14" s="1"/>
  <c r="L78" i="3"/>
  <c r="L24" i="15"/>
  <c r="L14" i="15"/>
  <c r="L35" i="15"/>
  <c r="L13" i="15"/>
  <c r="C21" i="14" l="1"/>
  <c r="F10" i="14"/>
  <c r="C19" i="14"/>
  <c r="C15" i="14"/>
  <c r="F15" i="14" s="1"/>
  <c r="C23" i="14"/>
  <c r="C22" i="14"/>
</calcChain>
</file>

<file path=xl/sharedStrings.xml><?xml version="1.0" encoding="utf-8"?>
<sst xmlns="http://schemas.openxmlformats.org/spreadsheetml/2006/main" count="1405" uniqueCount="1145">
  <si>
    <t>MODEL FORMATTING STANDARDS — MAZAGON DOCK SHIPBUILDERS LTD</t>
  </si>
  <si>
    <t>A.  FONT STANDARDS</t>
  </si>
  <si>
    <t>Font Family</t>
  </si>
  <si>
    <t>Aptos Narrow</t>
  </si>
  <si>
    <t>All cells throughout model</t>
  </si>
  <si>
    <t>Font Size</t>
  </si>
  <si>
    <t>11pt (body)  |  12–13pt (titles)</t>
  </si>
  <si>
    <t>Titles use larger size</t>
  </si>
  <si>
    <t>Hardcoded Values</t>
  </si>
  <si>
    <t>Black (FF000000)</t>
  </si>
  <si>
    <t>Direct inputs — no formula</t>
  </si>
  <si>
    <t>Formula Values</t>
  </si>
  <si>
    <t>Blue (0070C0)</t>
  </si>
  <si>
    <t>All cells containing = formulas</t>
  </si>
  <si>
    <t>Section Headers</t>
  </si>
  <si>
    <t>Black bold on blue fill (BDD7EE)</t>
  </si>
  <si>
    <t>Section dividers</t>
  </si>
  <si>
    <t>Title Bars</t>
  </si>
  <si>
    <t>White on navy (1F4E79)</t>
  </si>
  <si>
    <t>Sheet title rows</t>
  </si>
  <si>
    <t>Methodology Notes</t>
  </si>
  <si>
    <t>Grey (595959)</t>
  </si>
  <si>
    <t>Italics, small text 9pt</t>
  </si>
  <si>
    <t>Warning / Flags</t>
  </si>
  <si>
    <t>Red (CC0000)</t>
  </si>
  <si>
    <t>Outliers, limitations</t>
  </si>
  <si>
    <t>B.  NUMBER FORMATS</t>
  </si>
  <si>
    <t>Currency (INR)</t>
  </si>
  <si>
    <t>\₹#,##0.00;[Red](\₹#,##0.00)</t>
  </si>
  <si>
    <t>Brackets for negatives (red)</t>
  </si>
  <si>
    <t>Percentage</t>
  </si>
  <si>
    <t>0.0% or 0.00%</t>
  </si>
  <si>
    <t>No bracket — minus sign standard for %</t>
  </si>
  <si>
    <t>Multiples</t>
  </si>
  <si>
    <t>0.0x</t>
  </si>
  <si>
    <t>EV/EBITDA, P/E, ratios</t>
  </si>
  <si>
    <t>Date</t>
  </si>
  <si>
    <t>m/d/yyyy</t>
  </si>
  <si>
    <t>Year headers in all 10Y sheets</t>
  </si>
  <si>
    <t>Shares</t>
  </si>
  <si>
    <t>0.000</t>
  </si>
  <si>
    <t>In Crore to 3 decimal places</t>
  </si>
  <si>
    <t>EPS / DPS</t>
  </si>
  <si>
    <t>#,##0.00</t>
  </si>
  <si>
    <t>Per share values</t>
  </si>
  <si>
    <t>Days</t>
  </si>
  <si>
    <t>0</t>
  </si>
  <si>
    <t>DIO, DSO, DPO, CCC</t>
  </si>
  <si>
    <t>C.  FILL COLORS  (consistent across all sheets + original 6)</t>
  </si>
  <si>
    <t>#BDD7EE  Light Blue</t>
  </si>
  <si>
    <t>All section divider rows</t>
  </si>
  <si>
    <t>Total / Summary</t>
  </si>
  <si>
    <t>#D9D9D9  Light Grey</t>
  </si>
  <si>
    <t>Subtotal and total rows</t>
  </si>
  <si>
    <t>Actual Columns</t>
  </si>
  <si>
    <t>#C6EFCE  Light Green</t>
  </si>
  <si>
    <t>FY21–FY25 historical data</t>
  </si>
  <si>
    <t>Forecast Columns</t>
  </si>
  <si>
    <t>#FFEB9C  Light Yellow</t>
  </si>
  <si>
    <t>FY26–FY30 forecast data</t>
  </si>
  <si>
    <t>Subject Company</t>
  </si>
  <si>
    <t>MDL row in CCA</t>
  </si>
  <si>
    <t>Title Bar</t>
  </si>
  <si>
    <t>#1F4E79  Navy Blue</t>
  </si>
  <si>
    <t>Sheet title bars</t>
  </si>
  <si>
    <t>Selected WACC / Key</t>
  </si>
  <si>
    <t>Key output rows</t>
  </si>
  <si>
    <t>Assumption Highlight</t>
  </si>
  <si>
    <t>#FAE2D5  Peach/Orange</t>
  </si>
  <si>
    <t>Highlighted assumption rows in FS/A&amp;R</t>
  </si>
  <si>
    <t>Row Group Fill</t>
  </si>
  <si>
    <t>#D8D8D8  Light Grey</t>
  </si>
  <si>
    <t>Alternating group rows in Forecast Schedules</t>
  </si>
  <si>
    <t>Reasoning Column</t>
  </si>
  <si>
    <t>#BFBFBF  Medium Grey</t>
  </si>
  <si>
    <t>Reasoning/notes column fill in A&amp;R sheet</t>
  </si>
  <si>
    <t>VALUATION ENGINE</t>
  </si>
  <si>
    <t>#4472C4  Blue</t>
  </si>
  <si>
    <t>FCF, WACC, DCF, DDM, CCA</t>
  </si>
  <si>
    <t>OUTPUT / SUMMARY</t>
  </si>
  <si>
    <t>#70AD47  Green</t>
  </si>
  <si>
    <t>Sensitivity Analysis, Final Valuation, Key Ratios</t>
  </si>
  <si>
    <t>E.  SHEET ORDER</t>
  </si>
  <si>
    <t xml:space="preserve"> 1. FORMATTING — This sheet (formatting standards)</t>
  </si>
  <si>
    <t xml:space="preserve"> 2. INCOME STATEMENT — Revenue, EBITDA, PAT, EPS | FY21–FY30</t>
  </si>
  <si>
    <t xml:space="preserve"> 3. BALANCE SHEET — Assets, Liabilities, Equity | FY21–FY30</t>
  </si>
  <si>
    <t xml:space="preserve"> 4. CASH FLOW STATEMENT — Operating, Investing, Financing | FY21–FY30</t>
  </si>
  <si>
    <t xml:space="preserve"> 5. FORECAST SCHEDULES — 11 supporting schedules (S01–S11)</t>
  </si>
  <si>
    <t xml:space="preserve"> 6. ASSUMPTIONS AND REASONING — All forecast assumptions with rationale</t>
  </si>
  <si>
    <t xml:space="preserve"> 7. ORDER BOOK SCHEDULE — Opening, New Orders, Revenue Recognized, Closing</t>
  </si>
  <si>
    <t xml:space="preserve"> 8. FREE CASH FLOW — FCFF build from NOPAT | FY21–FY30</t>
  </si>
  <si>
    <t xml:space="preserve"> 9. WACC — Dual method: Observed Beta + Damodaran Beta | Jan 31 2026</t>
  </si>
  <si>
    <t>10. DCF — Gordon Growth, mid-year convention, dual WACC | Jan 31 2026</t>
  </si>
  <si>
    <t>11. DDM — Gordon Growth + H-Model, dual Ke | Jan 31 2026</t>
  </si>
  <si>
    <t>12. CCA — 5 peers, 50/50 weighting, FY25 actuals | Jan 31 2026</t>
  </si>
  <si>
    <t>13. SENSITIVITY ANALYSIS — WACC × g matrix with BUY/HOLD/SELL color coding</t>
  </si>
  <si>
    <t>14. FINAL VALUATION — 32/32/32/4 equal weighting, price target, rating</t>
  </si>
  <si>
    <t>15. KEY RATIOS — 6 ratio groups, 10Y view | FY21–FY30</t>
  </si>
  <si>
    <t>ACTUAL</t>
  </si>
  <si>
    <t>FORECASTED</t>
  </si>
  <si>
    <t>YEAR</t>
  </si>
  <si>
    <t>Ship Construction</t>
  </si>
  <si>
    <t>Offshore Project</t>
  </si>
  <si>
    <t>Sale of Base &amp; Depot Spares</t>
  </si>
  <si>
    <t>Sale of Other Goods</t>
  </si>
  <si>
    <t>Ship Repair</t>
  </si>
  <si>
    <t>Other Operating Revenue</t>
  </si>
  <si>
    <t>Revenue from Operations</t>
  </si>
  <si>
    <t>Revenue Growth (YoY %)</t>
  </si>
  <si>
    <t>COGS</t>
  </si>
  <si>
    <t>Procurement of Base &amp; Depot Spares</t>
  </si>
  <si>
    <t>Salaries, wages, allowances &amp; bonus</t>
  </si>
  <si>
    <t>Pension</t>
  </si>
  <si>
    <t>Contribution to PF &amp; ESI</t>
  </si>
  <si>
    <t>Workmen &amp; staff welfare</t>
  </si>
  <si>
    <t>Gratuity</t>
  </si>
  <si>
    <t>Encashment of privilege leave</t>
  </si>
  <si>
    <t>Employee Benefit Expenses</t>
  </si>
  <si>
    <t>Power &amp; Fuel</t>
  </si>
  <si>
    <t>Other Expenses — Project Related</t>
  </si>
  <si>
    <t>Other Expenses</t>
  </si>
  <si>
    <t>Provisions</t>
  </si>
  <si>
    <t>Total Operating Expenses (excl. D&amp;A)</t>
  </si>
  <si>
    <t>EBITDA</t>
  </si>
  <si>
    <t>PP&amp;E D&amp;A (ex-ROU)</t>
  </si>
  <si>
    <t>ROU D&amp;A</t>
  </si>
  <si>
    <t>Intangibles Amortization</t>
  </si>
  <si>
    <t>Depreciation &amp; Amortization</t>
  </si>
  <si>
    <t>EBIT / Operating Income</t>
  </si>
  <si>
    <t>Interest on Lease Liability</t>
  </si>
  <si>
    <t>Interest on Deferred Foreign Payment</t>
  </si>
  <si>
    <t>Interest on Deferred Vendor Deposits</t>
  </si>
  <si>
    <t>Others</t>
  </si>
  <si>
    <t>Interest Expense</t>
  </si>
  <si>
    <t>Interest &amp; Investment Income</t>
  </si>
  <si>
    <t>Earnings From Equity Investments</t>
  </si>
  <si>
    <t>Currency Exchange Gain (Loss)</t>
  </si>
  <si>
    <t>Other Non-Operating Income (Expenses)</t>
  </si>
  <si>
    <t>EBT Excluding Unusual Items</t>
  </si>
  <si>
    <t>Gain (Loss) on Sale of Assets</t>
  </si>
  <si>
    <t>Asset Writedown</t>
  </si>
  <si>
    <t>Other Unusual Items</t>
  </si>
  <si>
    <t>Pretax Income</t>
  </si>
  <si>
    <t>Current Tax</t>
  </si>
  <si>
    <t>Deferred Tax Credit/(Charge)</t>
  </si>
  <si>
    <t>Prior Period Tax Adjustment</t>
  </si>
  <si>
    <t>Income Tax Expense</t>
  </si>
  <si>
    <t>Profit for the Year (excl. Associate) — Standalone</t>
  </si>
  <si>
    <t>Less: Dividend from Associate (already in Equity Investments line above)</t>
  </si>
  <si>
    <t>Add: Share of Net Profit of Associate (Equity Method)</t>
  </si>
  <si>
    <t>Net Income (Consolidated)</t>
  </si>
  <si>
    <t>Net Income Growth (YoY %)</t>
  </si>
  <si>
    <t>Supplemental Items</t>
  </si>
  <si>
    <t>Shares Outstanding (Basic)</t>
  </si>
  <si>
    <t>Shares Outstanding (Diluted)</t>
  </si>
  <si>
    <t>Shares Change (YoY %)</t>
  </si>
  <si>
    <t>EPS (Basic)</t>
  </si>
  <si>
    <t>EPS (Diluted)</t>
  </si>
  <si>
    <t>EPS Growth (YoY %)</t>
  </si>
  <si>
    <t>Interim Dividend</t>
  </si>
  <si>
    <t>Final Dividend</t>
  </si>
  <si>
    <t>Dividend (Total)</t>
  </si>
  <si>
    <t>Interim DPS</t>
  </si>
  <si>
    <t>Final DPS</t>
  </si>
  <si>
    <t>Dividend Per Share (DPS)</t>
  </si>
  <si>
    <t>Dividend Growth (YoY %)</t>
  </si>
  <si>
    <t>EBITDA Margin (% of Revenue)</t>
  </si>
  <si>
    <t>EBIT Margin (% of Revenue)</t>
  </si>
  <si>
    <t>PBT Margin (% of Revenue)</t>
  </si>
  <si>
    <t>Net Profit Margin (% of Revenue)</t>
  </si>
  <si>
    <t>Dividend Payout Ratio (% of NI)</t>
  </si>
  <si>
    <t>Capital Expenditures</t>
  </si>
  <si>
    <t>PP&amp;E Accumulated D&amp;A</t>
  </si>
  <si>
    <t>ROU Accumulated D&amp;A</t>
  </si>
  <si>
    <t>Accumulated D&amp;A</t>
  </si>
  <si>
    <t>OCI for the Year (net of tax)</t>
  </si>
  <si>
    <t>Benefits Paid</t>
  </si>
  <si>
    <t>ASSETS</t>
  </si>
  <si>
    <t>Non-current assets</t>
  </si>
  <si>
    <t>Property, Plant and Equipment</t>
  </si>
  <si>
    <t>Right-of-Use Assets</t>
  </si>
  <si>
    <t>Net PPE</t>
  </si>
  <si>
    <t>Capital Work-in-Progress</t>
  </si>
  <si>
    <t>Other Intangible Assets</t>
  </si>
  <si>
    <t>Intangible Assets under Development</t>
  </si>
  <si>
    <t>Long-Term Investments</t>
  </si>
  <si>
    <t>Long-Term Trade Receivable</t>
  </si>
  <si>
    <t>Long-Term Loans</t>
  </si>
  <si>
    <t>Other Long-Term Financial Assets</t>
  </si>
  <si>
    <t>Deferred Tax Assets (net)</t>
  </si>
  <si>
    <t>Non-Current Tax Assets (net)</t>
  </si>
  <si>
    <t>Capital Advances</t>
  </si>
  <si>
    <t>Other Non-Current Assets</t>
  </si>
  <si>
    <t>Total Non-Current Assets</t>
  </si>
  <si>
    <t>Current assets</t>
  </si>
  <si>
    <t>Raw Materials &amp; Stores</t>
  </si>
  <si>
    <t>Equipment for Specific Projects (WIP)</t>
  </si>
  <si>
    <t>Scrap</t>
  </si>
  <si>
    <t>Inventories</t>
  </si>
  <si>
    <t>Trade Receivables</t>
  </si>
  <si>
    <t>Cash and Cash Equivalents</t>
  </si>
  <si>
    <t>Bank Balances (Other than Cash)</t>
  </si>
  <si>
    <t>Current Loans</t>
  </si>
  <si>
    <t>Other Current Financial Assets</t>
  </si>
  <si>
    <t>Contract Assets</t>
  </si>
  <si>
    <t>Assets Held for Sale</t>
  </si>
  <si>
    <t>Other Current Assets</t>
  </si>
  <si>
    <t>Total Current Assets</t>
  </si>
  <si>
    <t>TOTAL ASSETS</t>
  </si>
  <si>
    <t>EQUITY AND LIABILITIES</t>
  </si>
  <si>
    <t>Equity</t>
  </si>
  <si>
    <t>Equity Share Capital</t>
  </si>
  <si>
    <t>Other Equity</t>
  </si>
  <si>
    <t>Total Equity</t>
  </si>
  <si>
    <t>Non-current liabilities</t>
  </si>
  <si>
    <t>Long-Term Lease Liability</t>
  </si>
  <si>
    <t>Long-Term Trade Payables — MSME</t>
  </si>
  <si>
    <t>Long-Term Trade Payables — Others</t>
  </si>
  <si>
    <t>Other Long-Term Financial Liabilities</t>
  </si>
  <si>
    <t>Employee Benefit Obligations (LT) — Medical + Leave</t>
  </si>
  <si>
    <t>Other LT Provisions — LDs + Onerous + Others</t>
  </si>
  <si>
    <t>Long-Term Provisions</t>
  </si>
  <si>
    <t>Other Non-Current Liabilities</t>
  </si>
  <si>
    <t>Total Non-Current Liabilities</t>
  </si>
  <si>
    <t>Current liabilities</t>
  </si>
  <si>
    <t>Current Lease Liability</t>
  </si>
  <si>
    <t>Current Trade Payables — MSME</t>
  </si>
  <si>
    <t>Current Trade Payables — Others</t>
  </si>
  <si>
    <t>Other Current Financial Liabilities</t>
  </si>
  <si>
    <t>Contract Liability</t>
  </si>
  <si>
    <t>Other Current Liabilities</t>
  </si>
  <si>
    <t>ST Employee Benefits (Medical + Leave + Gratuity)</t>
  </si>
  <si>
    <t>Other ST Provisions (Guarantee Repairs + Custom Duty)</t>
  </si>
  <si>
    <t>Short-Term Provisions</t>
  </si>
  <si>
    <t>Total Current Liabilities</t>
  </si>
  <si>
    <t>TOTAL LIABILITIES</t>
  </si>
  <si>
    <t>TOTAL EQUITY AND LIABILITIES</t>
  </si>
  <si>
    <t>Error Check</t>
  </si>
  <si>
    <t>A. FCFF BUILD (₹ Crore)</t>
  </si>
  <si>
    <t>EBIT / Operating Income (from IS)</t>
  </si>
  <si>
    <t>(1 − Effective Tax Rate)</t>
  </si>
  <si>
    <t>→ NOPAT</t>
  </si>
  <si>
    <t>+ Depreciation &amp; Amortization</t>
  </si>
  <si>
    <t>− Capital Expenditures</t>
  </si>
  <si>
    <t>− CHANGE IN WORKING CAPITAL</t>
  </si>
  <si>
    <t xml:space="preserve">    Change in Trade Receivables</t>
  </si>
  <si>
    <t xml:space="preserve">    Change in Inventories</t>
  </si>
  <si>
    <t xml:space="preserve">    Change in Trade Payables</t>
  </si>
  <si>
    <t xml:space="preserve">    Change in Contract Liability</t>
  </si>
  <si>
    <t xml:space="preserve">    Change in Other Working Capital</t>
  </si>
  <si>
    <t xml:space="preserve">    = Total Change in Working Capital</t>
  </si>
  <si>
    <t>→ FREE CASH FLOW TO FIRM (FCFF)</t>
  </si>
  <si>
    <t>FCFF Growth (YoY %)</t>
  </si>
  <si>
    <t>FCFF Margin (% of Revenue)</t>
  </si>
  <si>
    <t>B. SUPPLEMENTAL REFERENCE (₹ Crore)</t>
  </si>
  <si>
    <t>EBITDA Margin (%)</t>
  </si>
  <si>
    <t>EBIT Margin (%)</t>
  </si>
  <si>
    <t>Capital Expenditures (PP&amp;E + CWIP)</t>
  </si>
  <si>
    <t>Effective Tax Rate (%)</t>
  </si>
  <si>
    <t>FOCASTED</t>
  </si>
  <si>
    <t>Period Ending</t>
  </si>
  <si>
    <t>A. Cash flow from operating activities</t>
  </si>
  <si>
    <t>Profit before tax</t>
  </si>
  <si>
    <t>Non-cash &amp; non-operating expenses</t>
  </si>
  <si>
    <t>Depreciation &amp; amortization</t>
  </si>
  <si>
    <t>Finance cost</t>
  </si>
  <si>
    <t>Amortization of prepaid rentals</t>
  </si>
  <si>
    <t>FX variation</t>
  </si>
  <si>
    <t>Non-operating income (reversals)</t>
  </si>
  <si>
    <t>Gain on sale of fixed assets</t>
  </si>
  <si>
    <t>Dividend received</t>
  </si>
  <si>
    <t>Amortization of deferred vendor deposits</t>
  </si>
  <si>
    <t>Amortization of deferred revenue</t>
  </si>
  <si>
    <t>Interest on deferred payment liability</t>
  </si>
  <si>
    <t>Interest on deferred deposit with MbPT</t>
  </si>
  <si>
    <t>Operating profit before working capital changes</t>
  </si>
  <si>
    <t>Working capital movements</t>
  </si>
  <si>
    <t>Change in inventories</t>
  </si>
  <si>
    <t>Change in trade receivables &amp; loans</t>
  </si>
  <si>
    <t>Change in other current &amp; non-current assets</t>
  </si>
  <si>
    <t>Change in trade payables &amp; provisions</t>
  </si>
  <si>
    <t>Change in other current &amp; non-current liabilities</t>
  </si>
  <si>
    <t>Cash flow from operations</t>
  </si>
  <si>
    <t>Income tax paid (net of refunds)</t>
  </si>
  <si>
    <t>Net cash from operating activities</t>
  </si>
  <si>
    <t>Net cash from operating activities for intrest income</t>
  </si>
  <si>
    <t>B. Cash flow from investing activities</t>
  </si>
  <si>
    <t>Purchase of PP&amp;E</t>
  </si>
  <si>
    <t>Capital work in progress</t>
  </si>
  <si>
    <t>Proceeds from sale of PP&amp;E</t>
  </si>
  <si>
    <t>Capital advance</t>
  </si>
  <si>
    <t>Interest received</t>
  </si>
  <si>
    <t>Fixed deposits / Term deposits</t>
  </si>
  <si>
    <t>Lease principal payments</t>
  </si>
  <si>
    <t>Net cash from investing activities</t>
  </si>
  <si>
    <t>C. Cash flow from financing activities</t>
  </si>
  <si>
    <t>Dividend paid</t>
  </si>
  <si>
    <t>Lease finance costs</t>
  </si>
  <si>
    <t>Other finance costs</t>
  </si>
  <si>
    <t>Net cash from financing activities</t>
  </si>
  <si>
    <t>Reclassification / Other non-cash adjustments (balancing)</t>
  </si>
  <si>
    <t>Net change in cash</t>
  </si>
  <si>
    <t>Beginning cash</t>
  </si>
  <si>
    <t>Ending cash</t>
  </si>
  <si>
    <t>error check</t>
  </si>
  <si>
    <t>LINE ITEM</t>
  </si>
  <si>
    <t>Methodology</t>
  </si>
  <si>
    <t>REASONING</t>
  </si>
  <si>
    <t>S01 — PP&amp;E / Capital Expenditure / Depreciation &amp; Amortization Roll-forward</t>
  </si>
  <si>
    <t>Closing Gross PP&amp;E</t>
  </si>
  <si>
    <t>Opening PP&amp;E</t>
  </si>
  <si>
    <t>Total CapEx</t>
  </si>
  <si>
    <t>Total CapEx = Note 2 Total Tangibles gross block additions minus ROU additions (leasehold land + vehicles), yielding PP&amp;E-only capitalisation. PP&amp;E only: FY22 ₹37.87 Cr, FY23 ₹121.34 Cr, FY24 ₹66.14 Cr, FY25 ₹78.08 Cr. Forecast ₹55/60/75/40/40 Cr (FY26–30) derived from three anchors: (1) Note 36.1 FY25 AR: ₹1,392.41 Cr contracted but unspent CapEx confirms Nhava Yard spend committed for FY26–28. (2) FY25 AR Future Outlook: Dry Dock, Grand Assembly Area, 400T Goliath cranes entering active execution. (3) CWIP: FY25 additions ₹798.04 Cr (Note 3) represent procurement surge; FY26–28 CapEx reflects phased commissioning into gross block. Annual phasing: FY26–27 lower (civil/foundation work); FY28 peak (heavy equipment installation); FY29–30 step-down to steady-state post-commissioning. Total FY26–30 CapEx ₹270 Cr = ~19% of committed pipeline — conservative, as majority of Nhava Yard spend flows through CWIP before entering gross block. Maintenance vs. growth split removed — neither publicly disclosed; total CapEx is the only supportable assumption from public data</t>
  </si>
  <si>
    <t>3Y Rolling Avg</t>
  </si>
  <si>
    <t>Disposals / Sale of PP&amp;E</t>
  </si>
  <si>
    <t>Actual: Disposals = Note 2 Total Tangibles deductions column (gross block). Source: Note 2, FY23 AR (FY22/FY23) and Note 2, FY25 AR (FY24/FY25). Values: FY22 ₹13.10 Cr, FY23 ₹5.63 Cr, FY24 ₹8.21 Cr, FY25 ₹6.84 Cr. FY22 elevated — likely batch retirement of aged workshop equipment coinciding with P15B/P17A ramp-up requiring facility upgrades; not structural. FY23–25 stable range ₹5.63–8.21 Cr reflecting routine retirement of end-of-life vehicles, computers, and loose tools per normal asset replacement cycle.
Forecast: No disposal program, asset retirement schedule, or forward-looking commentary disclosed in any of the 5 ARs. MDL's core assets (dry docks, slipways, workshops, jointly-funded naval infrastructure) have long useful lives and are not subject to routine disposal — small annual disposal quantum reflects peripheral assets only. 3Y rolling avg (FY23–25) = ₹6.89 Cr applied flat throughout FY26–30 — FY22 outlier naturally excluded, tight historical range confirms stability, consistent with model-wide methodology.</t>
  </si>
  <si>
    <t>Opening CWIP</t>
  </si>
  <si>
    <t>CWIP Additions</t>
  </si>
  <si>
    <t>Actual: CWIP Additions = Note 3 (Capital Work-in-Progress) expenditure during the period. Source: Note 3, FY21 AR (FY21); Note 3, FY23 AR (FY22/FY23); Note 3, FY24 AR (FY24); Note 3, FY25 AR (FY25). Values: FY22 ₹241.12 Cr, FY23 ₹96.02 Cr, FY24 ₹76.86 Cr, FY25 ₹798.04 Cr. FY25 spike to ₹798.04 Cr driven entirely by Nhava Yard expansion — one-time procurement surge confirmed by Note 3 FY25 AR completion schedule (Greenfield Shipyard, Repair Facility, Submarine Launch Facility, Caisson Gate as active items). Pre-Nhava baseline FY22-24 = ₹67-241 Cr range; no stable relationship with any operational metric (revenue, COGS, order book, cash) — CWIP Additions is a pure capital programme item driven by project timing, not operations.
Forecast: FY26 ₹138 Cr — no new major programme starting; P75I contract signing confirmed delayed to FY27 per public disclosures (German Defence Minister Pistorius, April 2026); only existing programmes in execution (P17A, Coast Guard, Offshore). Value = 3Y avg FY22-24 pre-Nhava normal level (241.12 + 96.02 + 76.86) / 3 = ₹138 Cr — FY25 outlier excluded with documented cause. FY27 ₹300 Cr and FY28 ₹400 Cr — P75I contract signing FY27 triggers dedicated submarine infrastructure spend (assembly hall, pressure hull facility, dry dock modifications at Nhava Yard); peak spend FY28 as construction accelerates. FY29 ₹250 Cr — P75I infrastructure tapering, LPD/MCMV programmes potentially entering infrastructure phase per Q2 FY26 earnings call (RFP imminent). FY30 ₹150 Cr — normalizing toward steady state. FY27-30 quantum is directional only — exact infrastructure cost per programme not disclosed in any AR, earnings call, or public filing.</t>
  </si>
  <si>
    <t>Transfers to Commissioned Assets</t>
  </si>
  <si>
    <t>Actual: Transfers = Note 3 capitalisation during the period (amounts transferred from CWIP to gross block upon commissioning). Source: same note references as CWIP Additions. Values: FY22 ₹234.33 Cr, FY23 ₹121.34 Cr, FY24 ₹66.71 Cr, FY25 ₹733.08 Cr. Reconciles to Note 2 gross block additions each year. Historical Transfers/Additions ratio: FY22 97%, FY24 87%, FY25 92% — FY23 excluded as outlier (transfers exceeded additions due to commissioning from prior CWIP accumulation). 3Y avg FY22/FY24/FY25 = 92%.
Forecast: Transfers = 90% of CWIP Additions each year — anchored to historical 92% ratio (FY22/FY24/FY25 avg), rounded to 90% for conservatism. Remaining 10% stays in CWIP reflecting normal construction-in-progress at year end, consistent with MDL's historical CWIP cycle where majority of additions commission within the same financial year. FY26 ₹124 Cr, FY27 ₹270 Cr, FY28 ₹360 Cr, FY29 ₹225 Cr, FY30 ₹135 Cr. Note: Transfers ≠ Total CapEx — Total CapEx (gross block additions) includes both transfers from CWIP and direct purchases of small assets (vehicles, computers, loose tools) that bypass CWIP and are commissioned immediately. These are independent line items.</t>
  </si>
  <si>
    <t>Provision/Write-down</t>
  </si>
  <si>
    <t>Provision/Write-down = Note 3 FY25 AR, provision for tangible assets within CWIP. FY24 only: ₹3.53 Cr (353 lakhs). All other years zero. Per Note 3 FY25 AR Previous Year Figures.</t>
  </si>
  <si>
    <t>Closing CWIP</t>
  </si>
  <si>
    <t>Opening Commissioned Assets</t>
  </si>
  <si>
    <t>Closing Commissioned Assets (Closing Gross Block − Closing CWIP)</t>
  </si>
  <si>
    <t xml:space="preserve">Average Commissioned Assets </t>
  </si>
  <si>
    <t>D&amp;A Rate (% of avg. Commissioned Assets)</t>
  </si>
  <si>
    <t>D&amp;A Rate = PP&amp;E D&amp;A Charge / Average Commissioned Assets. FY23-24 stable at ~5.8% reflecting MDL's predominantly long-lived asset base (dry docks, slipways, workshops, jointly-funded naval infrastructure) depreciated on straight-line basis per Schedule II Companies Act 2013 (Note 2, FY25 AR). FY25 slight uptick to 7.57% driven by higher depreciation on newly commissioned Nhava Yard assets and building additions entering service. 3Y rolling avg (FY23-25) = 6.40% applied to FY26, rolling forward each year as new actuals enter the window. No structural change in depreciation policy disclosed in any AR — Schedule II straight-line methodology unchanged. Rolling avg preferred over flat rate as it naturally captures gradual shifts in asset mix as Nhava Yard infrastructure (longer-lived civil assets) increases as proportion of total gross block.</t>
  </si>
  <si>
    <t>Opening Accumulated D&amp;A</t>
  </si>
  <si>
    <t>D&amp;A Charge</t>
  </si>
  <si>
    <t>D&amp;A Charge = Note 2 Total Tangibles (A+B) 'For the period' column, representing tangibles-only D&amp;A excluding intangibles amortisation. Source: FY23 AR (FY22/FY23), FY25 AR (FY24/FY25). Values: FY22 ₹68.69, FY23 ₹71.18, FY24 ₹77.76, FY25 ₹108.25 Cr.</t>
  </si>
  <si>
    <t>Accumulated D&amp;A on Disposals</t>
  </si>
  <si>
    <t>97% of Gross Disposals</t>
  </si>
  <si>
    <t>Actual: Accumulated D&amp;A on Disposals = Note 2 Total Tangibles Depreciation/Amortisation Deductions column. Source: FY23 AR (FY22/FY23), FY25 AR (FY24/FY25). Values: FY22 ₹9.05 Cr, FY23 ₹5.34 Cr, FY24 ₹7.98 Cr, FY25 ₹6.68 Cr.
Forecast: Linked directly to Gross Disposals row as a fixed ratio. Historical ratio of Accumulated D&amp;A / Gross Disposals: FY23 95%, FY24 97%, FY25 98% — consistently ~97%, confirming MDL disposes assets only at or near end of useful life when nearly fully depreciated. Fixed 97% applied throughout FY26-30 — stable ratio with no structural reason to change given unchanged depreciation policy (Schedule II straight-line, Note 2 FY25 AR).</t>
  </si>
  <si>
    <t>Closing Accumulated D&amp;A</t>
  </si>
  <si>
    <t>Net Block</t>
  </si>
  <si>
    <t>S02 — Lease Liability Roll-forward (Ind AS 116)</t>
  </si>
  <si>
    <t>Opening Lease Liability</t>
  </si>
  <si>
    <t>New Leases (additions)</t>
  </si>
  <si>
    <t>Flat (₹7 Cr)</t>
  </si>
  <si>
    <t>New Leases derived as balancing figure: Closing − Opening − Interest + Principal Payments − Adjustments. Ind AS 116 does not require standalone disclosure of new lease additions. Back-calculation from BS closing balance is the only defensible methodology from public data.
Forecast: New lease additions represent vehicle and equipment operating leases — MDL's fleet of staff buses, official vehicles, and material handling equipment. Historical: FY22 ₹13.06 Cr, FY23 ₹0, FY24 ₹16.27 Cr, FY25 ₹3.83 Cr — lumpy pattern reflecting batch fleet replacement rather than annual additions. MbPT Nhava Yard land lease (₹655 Cr ROU, April 2024) is a prepaid operating lease — no corresponding financial liability, not reflected here. No new large land or infrastructure leases expected in forecast period. 3Y rolling avg (FY23–25) = ₹6.70 Cr rounded to ₹7 Cr — captures normalized annual fleet top-up without attempting to model lumpy replacement cycles. Immaterial: &lt;0.1% of total assets throughout forecast period.</t>
  </si>
  <si>
    <t>Interest on Lease Liability (finance cost)</t>
  </si>
  <si>
    <t>Flat (₹1 Cr)</t>
  </si>
  <si>
    <t>Interest on lease liability accrues on the outstanding balance per Ind AS 116 using the implicit rate embedded in each lease contract. Historical implicit rates derived from Interest / Average Lease Liability (Opening + New Leases − Principal/2) vary significantly: FY22 distorted by zero opening balance, FY23 26.6%, FY24 6.7%, FY25 0.7% — volatility driven by mix of vehicle leases at different contractual rates and timing of additions. MbPT Nhava Yard land lease (₹655 Cr ROU, April 2024) is a prepaid operating lease with no financial liability component, distorting FY25 rate calculation. Lease liability portfolio in forecast is small (₹20.33 Cr FY25 closing, growing modestly with ₹7 Cr annual additions) — interest charge is structurally immaterial regardless of rate assumption. Flat ₹1 Cr applied throughout FY26–30 — conservative estimate acknowledging ongoing interest accrual on vehicle/equipment lease portfolio without false precision on an immaterial line. Feeds finance cost in IS.</t>
  </si>
  <si>
    <t>Principal Lease Payments</t>
  </si>
  <si>
    <t>Flat (₹2 Cr)</t>
  </si>
  <si>
    <t>Principal lease payments represent scheduled repayment of vehicle and equipment lease liabilities. FY22–24 elevated payments (₹4–7 Cr) driven by MbPA plot lease liability (₹13.06 Cr, created FY22) — fully reversed in FY24 when MbPA lease restructured to 29-year prepaid operating format with no ongoing financial liability. FY25 near-zero (₹0.12 Cr) reflects clean slate — only residual old leases finishing off. FY25 closing current portion = ₹0.30 Cr. Forecast: flat ₹2 Cr/year — slightly above current portion, accounts for gradual amortization of new ₹7 Cr annual vehicle lease additions. Immaterial line feeding CF financing activities.</t>
  </si>
  <si>
    <t>Adjustments / Reversals</t>
  </si>
  <si>
    <t>FY23 Adjustments = -₹1.27 Cr reflects lease term modification during FY23, unidentifiable from public filings. FY24 = MbPT TAMP lease liability reversal on resolution of rate dispute (Note 39 FY24 AR / FY25 AR Note on Ind AS 116).</t>
  </si>
  <si>
    <t>Closing Lease Liability</t>
  </si>
  <si>
    <t xml:space="preserve">  Long-Term Portion</t>
  </si>
  <si>
    <t xml:space="preserve">  Current Portion</t>
  </si>
  <si>
    <t>1.5% of Closing Lease Liability</t>
  </si>
  <si>
    <t>Current/LT split driven by contractual payment schedule of individual leases. FY25 new lease addition (₹383 Lk) is entirely vehicle/equipment — confirmed long-term given closing current portion of only ₹30 Lk (1.5% of ₹2,033 Lk closing) despite ₹383 Lk addition in same year. MbPT 29-year prepaid lease carries no financial liability component — excluded. Lease terms not individually disclosed per Ind AS 116; precise amortization schedule unavailable from public data. 1.5% current ratio (FY25 actual) applied to forecast closing balance — consistent with observed long-term nature of MDL's lease portfolio. LT = Closing − Current. Immaterial: combined lease liability &lt;0.1% of total liabilities throughout forecast period.</t>
  </si>
  <si>
    <t>Opening ROU Asset</t>
  </si>
  <si>
    <t>+ New Leases / ROU Additions</t>
  </si>
  <si>
    <t xml:space="preserve">Equal to New Lease Additions </t>
  </si>
  <si>
    <t>ROU Additions: FY22 ₹196.44 Cr = MbPT TAMP leasehold ROU Additions: FY22 ₹196.44 Cr = MbPT TAMP leasehold land lease created under Ind AS 116 (Note 2 FY23 AR). FY23 ₹0.53 Cr and FY24 ₹0.58 Cr = vehicle lease additions (Note 2). FY25 ₹655.00 Cr = new 29-year MbPT lease renewal at revised rates effective 01-Apr-2024, upfront premium ₹48.75 Cr recognised as ROU (Note 2 FY25 AR). Forecast: all major land and infrastructure leases complete — MbPT Nhava Yard 29-year lease capitalized FY25, all MbPA plot disputes resolved FY24. No new large land or infrastructure leases expected in forecast period. Annual ROU additions = vehicle/equipment financial leases only. Per Ind AS 116, ROU asset = present value of lease payments = lease liability at inception — ROU addition equals new lease liability addition of ₹7 Cr annually. Historical FY23–24 discrepancies (₹0.53–0.58 Cr ROU vs larger liability movements) driven by short-term lease exemptions (&lt;12 months) and MbPT-related liability movements not matching vehicle ROU. lease created under Ind AS 116 (Note 2 FY23 AR). FY23 ₹0.53 Cr and FY24 ₹0.58 Cr = vehicle lease additions (Note 2). FY25 ₹655.00 Cr = new 29-year MbPT lease renewal at revised rates effective 01-Apr-2024, upfront premium ₹48.75 Cr recognised as ROU (Note 2 FY25 AR).</t>
  </si>
  <si>
    <t>- ROU Amortization</t>
  </si>
  <si>
    <t>Flat (₹22.59 Cr)</t>
  </si>
  <si>
    <t>ROU amortization driven by two components — MbPT 29-year lease (₹655 Cr, straight-line ₹22.59 Cr/year, fixed and certain) and vehicle/equipment leases (FY25 ~₹1.38 Cr, growing marginally with ₹7 Cr annual additions). MbPT component is the dominant driver (94.2% of FY25 total amortization). Vehicle lease terms not individually disclosed per Ind AS 116 — incremental amortization on ₹7 Cr annual additions cannot be precisely calculated from public data. Flat ₹22.59 Cr applied — MbPT straight-line only, vehicle component excluded on immateriality grounds (~₹1-2 Cr/year, &lt;0.1% of forecast EBIT). Feeds D&amp;A supplemental in IS separately from PP&amp;E depreciation.</t>
  </si>
  <si>
    <t>FY24 ROU Adjustment = -₹176.63 Cr = net reversal of MbPT TAMP leasehold land ROU asset (gross block reversal net of accumulated ROU amortisation). TAMP lease reversed in FY24 following MbPA revised rate offer (Note on Ind AS 116, FY25 AR).</t>
  </si>
  <si>
    <t>Closing ROU Asset</t>
  </si>
  <si>
    <t>S03 — Working Capital Schedule (AR / Inventory / AP consolidated)</t>
  </si>
  <si>
    <t>Revenue (link from IS)</t>
  </si>
  <si>
    <t>COGS (Material + Sub-contract + Spares, link from IS)</t>
  </si>
  <si>
    <t>COGS MSME (Materials + Spares)</t>
  </si>
  <si>
    <t>Accounts Receivable</t>
  </si>
  <si>
    <t>Current Trade Receivables</t>
  </si>
  <si>
    <t>Long-Term Trade Receivables</t>
  </si>
  <si>
    <t>Total Trade Receivables</t>
  </si>
  <si>
    <t>DSO (days)</t>
  </si>
  <si>
    <t>3Y Rolling Avg (rounded to nearest 5 days)</t>
  </si>
  <si>
    <t>Inventory</t>
  </si>
  <si>
    <t>Inventory closing balance</t>
  </si>
  <si>
    <t>Equipment for Specific Projects (WIP) as % of Inventory</t>
  </si>
  <si>
    <t>3Y Rolling Avg %</t>
  </si>
  <si>
    <t>WIP Equipment (Equipment for Specific Projects) as % of total inventory: FY22 98.1%, FY23 98.5%, FY24 97.8%, FY25 90.3%. FY22–24 structurally stable at 97–98% — WIP dominates MDL's inventory base as long-duration naval contracts require holding project-specific equipment (propulsion systems, weapon mounts, sensors, hull sections) for years before vessel completion. FY25 dip to 90.3% driven by simultaneous raw material procurement surge for new contracts entering fabrication phase (Coast Guard vessels ₹2,991 Cr, iDMS) — temporary distortion, not structural. 3Y rolling avg applied — naturally absorbs FY25 distortion and reverts toward structural norm (93–96% range FY26–30) as procurement phase normalizes and new contract materials convert to WIP. Total Inventory closing balance derived from DIO assumption; WIP = 3Y rolling avg % × Total Inventory.</t>
  </si>
  <si>
    <t>Scrap as % of Inventory</t>
  </si>
  <si>
    <t>Scrap as % of total inventory: FY22 0.05%, FY23 0.16%, FY24 0.16%, FY25 0.18% — consistently tiny, range 0.05–0.18%. Represents metal offcuts, defective components, and salvageable materials from fabrication — inherently proportional to production activity. No structural driver or trend. 3Y rolling avg applied (FY26: 0.17% = avg FY23–25). Immaterial: &lt;0.2% of total inventory throughout forecast period.</t>
  </si>
  <si>
    <t>DIO (days)</t>
  </si>
  <si>
    <t>25 days annual decline, floor at 150 days</t>
  </si>
  <si>
    <t>Dominated by Equipment for Specific Projects WIP (90–98% of inventory), representing project-specific naval equipment held at various fabrication stages across active contracts. Historical: FY22 696 days, FY23 480 days, FY24 315 days, FY25 236 days — structural declining trend as P15B (4 destroyers, all delivered FY22–25) and P75 Scorpene (6 submarines, all delivered FY25) consumed accumulated WIP. Decline rate decelerating: -216 days FY22→23, -165 days FY23→24, -79 days FY24→25. FY26–28 forecast: continued decline as 6 remaining P17A frigates deliver (one per year approximately), burning existing WIP further. Coast Guard vessels (shorter build cycle) and iDMS partially offset with fresh procurement. Floor set at 150 days from FY29 — P75I submarine contract (6 vessels, ₹70,000+ Cr, negotiations active per TKMS and MDL Director Finance as of Sep–Dec 2025) expected to enter active procurement phase FY28–29, rebuilding WIP base and preventing further DIO compression. 25 days annual decline applied FY26–28 based on decelerating historical trend, capped at 150 days FY29–30.</t>
  </si>
  <si>
    <t>Accounts Payable</t>
  </si>
  <si>
    <t>Current Trade Payables</t>
  </si>
  <si>
    <t>Long-Term Trade Payables</t>
  </si>
  <si>
    <t>₹17.73 Cr flat throughout FY26–30. Five-year historical range ₹15.44–18.02 Cr with no directional trend — structurally range-bound by long-term contract payment terms. 3Y avg (FY23–25) = ₹17.80 Cr, within 0.4% of FY25 closing — no basis to forecast deviation. No vendor payment policy changes or LT payables guidance disclosed in any of the 5 ARs.</t>
  </si>
  <si>
    <t>Total Trade Payables</t>
  </si>
  <si>
    <t>DPO (days)</t>
  </si>
  <si>
    <t>50 days annual decline, floor at 120 days</t>
  </si>
  <si>
    <t>DPO driven by contractual payment terms with vendors — not payment delays. Note 23 trade payables ageing (FY25 AR) confirms 98.1% of payables (₹3,666 Cr of ₹3,738 Cr) are not yet due, confirming DPO reflects actual contractual terms, not deferred payments. 93.9% non-MSME vendors — large defence equipment suppliers (propulsion, weapons, electronics) with extended payment terms of 120–365 days. Historical DPO: FY22 559 days, FY23 292 days, FY24 246 days, FY25 196 days — declining as P15B and P75 project payables clear. FY22→23 decline of -267 days was a one-time clearing event; FY23→25 stable decline of ~50 days/year as project procurement normalises. Floor at 120 days from FY27 — represents structural blended payment terms as project mix shifts toward shorter-cycle Coast Guard vessels before P75I ramps up long-lead equipment procurement again. 50 days annual decline FY26–27, flat at floor FY28–30.</t>
  </si>
  <si>
    <t>Accounts Payable -MSME</t>
  </si>
  <si>
    <t>Total Trade Payables -MSME</t>
  </si>
  <si>
    <t>DPO (days) - MSME</t>
  </si>
  <si>
    <t>Linear Increment (+3 days/year), capped at 45 days.</t>
  </si>
  <si>
    <t>MSME DPO (days) = Closing MSME Payables / COGS × 365. Historical: FY21 6 days, FY22 0 days (outlier — near-zero MSME payables, likely classification gap prior to MSMED Act enforcement), FY23 3 days, FY24 11 days, FY25 14 days. Clear structural upward trend driven by MDL's increasing MSME vendor base as procurement diversifies toward smaller domestic suppliers under Make in India and Defence Production Policy mandates. FY24→FY25 increment = 3 days — applied as flat annual increment throughout FY26–30. Resulting forecast: 17, 20, 23, 26, 29 days — remains well below MSMED Act statutory 45-day payment ceiling throughout forecast period, confirming assumption is conservative and legally compliant. No MSME-specific payables guidance disclosed in any AR.</t>
  </si>
  <si>
    <t>Cash Conversion Cycle (DSO + DIO − DPO)</t>
  </si>
  <si>
    <t>S04 — Other Non-Current Items (Capital Advances / Deferred Tax / Provisions)</t>
  </si>
  <si>
    <t>Opening Capital Advances</t>
  </si>
  <si>
    <t>Net Movement</t>
  </si>
  <si>
    <t>25% of gross committed pipeline</t>
  </si>
  <si>
    <t>Capital advances represent advance payments to vendors on signed capital contracts, reclassified to CWIP on receipt. Methodology: 25% of gross committed pipeline (advances + Note 36.1 contracted unspent) — not a 2Y average but a convergence observation across two independent active procurement years: FY23 (₹8.69 Cr / ₹35.00 Cr = 24.8%) and FY24 (₹439.86 Cr / ₹1,746.78 Cr = 25.2%); identical ratio across vastly different scales confirms structural consistency. FY21–22 excluded (pre-Nhava, sub-₹5 Cr); FY25 excluded (7.6% — one-time distortion from ₹798 Cr CWIP delivery surge). Note 36.1 pipeline stable at ₹1,307–1,392 Cr across FY24–25 despite simultaneous execution — steady-state ₹1,400 Cr assumed through FY28, consistent with ₹6,400 Cr total program over three to four years (Corporate Overview + CFO Q&amp;A, FY25 AR). FY26: +₹235 Cr as purchase orders placed against already-contracted ₹1,392 Cr pipeline. FY27: +₹50 Cr as P75I sub-vendor placements exceed deliveries. FY28: -₹50 Cr as peak CWIP delivery (₹400 Cr, S01) converts more advances out. FY29–30: -₹150 Cr each as program concludes and pipeline winds down. Limitation: two convergent observations; advance payment terms not publicly disclosed.</t>
  </si>
  <si>
    <t>Closing Capital Advances</t>
  </si>
  <si>
    <t>Deferred Tax Asset (net)</t>
  </si>
  <si>
    <t>Opening DTA</t>
  </si>
  <si>
    <t>Deferred Tax Credit / (Charge)</t>
  </si>
  <si>
    <t>Deferred Tax Credit/(Charge) = (LT Other Prov additions + ST Other Prov additions − LT Other Prov utilizations − ST Other Prov utilizations) × 25.17% statutory tax rate. 25.17% = Section 115BAA enacted rate, confirmed in Note 47 FY25 AR as statutory rate applied to MDL. Provision additions create deductible temporary differences under Ind AS 12 (DTA credit); utilizations represent settlement of those differences (DTA charge). FY26 credit: onerous Q1 ₹468 Cr + Guarantee Repairs ₹108.70 Cr − utilizations ₹208.94 Cr = net +₹367.76 Cr × 25.17% ≈ ₹92.58 Cr. FY27–FY30 charges as onerous unwinds ₹197.88 Cr/year, partially offset by Guarantee Repairs growth. EBO timing differences (Sec 43B) not separately modeled — incremental to existing DTA balance, not individually quantifiable from Note 47 public disclosures. Actuals FY22–FY25: linked from IS deferred tax line (Income Tax Note, respective ARs).</t>
  </si>
  <si>
    <t>Closing DTA</t>
  </si>
  <si>
    <t>Employee Benefit Obligations (LT)</t>
  </si>
  <si>
    <t>Opening Employee Benefit Obligation</t>
  </si>
  <si>
    <t>+ Service Cost + Interest Cost</t>
  </si>
  <si>
    <t>Actuarial derivation (Note 39.2 Gratuity + Note 39.3 Leave Encashment)</t>
  </si>
  <si>
    <t>Service cost + interest cost derived directly from actuarial notes (Note 39.2 Gratuity + Note 39.3 Leave Encashment, FY25 AR) replacing IS proxy formula used in actuals. PRMS excluded — no actuarial disclosure in any of the 5 ARs; absorbed in Residual row. Two components modeled separately then combined. Gratuity: Interest cost = prior year closing obligation × 6.81% discount rate (FY25 Note 39.2 assumption (i)(a), held flat consistent with S10 repo rate anchor). Service cost = prior year service cost × 94.5% (5.5% annual decline per permanent headcount attrition: 3,343 FY22 → 2,654 FY25, documented in S23 LTFA reasoning). Gratuity obligation roll-forward: Opening ₹14,738 lakhs (FY25 Note 39.2) + Interest + Service − Benefits Paid (₹2,439 lakhs flat, FY25 Note 39.2 actual). Closing obligations: FY26 ₹14,009, FY27 ₹13,191, FY28 ₹12,280, FY29 ₹11,272, FY30 ₹10,164 lakhs. Gratuity S+I: FY26 ₹17.10, FY27 ₹16.21, FY28 ₹15.28, FY29 ₹14.31, FY30 ₹13.31 Cr. Leave Encashment: Same discount rate 6.81%. Service cost = prior year × 94.5%. Benefits Paid flat at ₹1,237 lakhs (FY25 Note 39.3 actual). Opening ₹13,551 lakhs (FY25 Note 39.3). Closing obligations: FY26 ₹14,134, FY27 ₹14,708, FY28 ₹15,274, FY29 ₹15,834, FY30 ₹16,390 lakhs. Leave S+I: FY26 ₹18.20, FY27 ₹18.11, FY28 ₹18.03, FY29 ₹17.97, FY30 ₹17.93 Cr. Combined Row 111: FY26 ₹35.30, FY27 ₹34.32, FY28 ₹33.31, FY29 ₹32.28, FY30 ₹31.24 Cr. Gradual decline driven by Gratuity obligation depletion as headcount attrition continues; Leave holds near-flat as interest cost on growing obligation offsets declining service cost. FY25 actual restated from IS proxy (₹96.37 Cr) to correct actuarial value (₹35.34 Cr); Row 115 Residual FY25 recalculated accordingly to maintain roll-forward integrity.</t>
  </si>
  <si>
    <t>- Benefits Paid</t>
  </si>
  <si>
    <t>Benefits Paid (LT portion) = Total Benefits Paid × LT Benefits Paid Ratio (Row 113). Actuals FY22–FY25: IS supplemental Benefits Paid (Note 39 Gratuity + Leave combined, row 99) × BS LT EBO ratio — sourced from FY21 AR Note 38, FY22 AR Note 36, FY23 AR Note 36, FY25 AR Note 39. Medical (PRMS) benefits paid not separately disclosed in Note 39 — captured in Residual row. Forecast FY26–FY30: Total Benefits Paid held flat at FY25 actual ₹36.79 Cr (IS!G99 = Gratuity ₹24.39 Cr Note 39.2 + Leave ₹12.37 Cr Note 39.3, FY25 AR) — most recent and most defensible single anchor given inherent lumpiness of retirement timing. Multiplied by 3Y rolling avg LT Benefits Paid Ratio (Row 113) to derive LT portion each year.</t>
  </si>
  <si>
    <t>LT Benefits Paid Ratio (LT BP / Total BP)</t>
  </si>
  <si>
    <t>LT Benefits Paid Ratio = Row 112 LT Benefits Paid / IS Supplemental Total Benefits Paid (IS row 99). Represents proportion of total annual benefits paid flowing through LT obligation, remainder through ST per actuarial LT/ST determination. Actuals formula-derived: FY22 80.05% (₹57.16/₹71.41 Cr), FY23 80.82% (₹59.97/₹74.20 Cr), FY24 83.10% (₹45.53/₹54.79 Cr), FY25 90.00% (₹33.11/₹36.79 Cr). Upward trend reflects declining ST obligation as fewer active employees approach retirement threshold. 3Y rolling avg applied to forecast years — naturally incorporates observed trend while smoothing year-to-year lumpiness from retirement timing. Source: Row 112 actuals vs IS supplemental Benefits Paid line, all 5 ARs.</t>
  </si>
  <si>
    <t>± Actuarial Gain / (Loss)</t>
  </si>
  <si>
    <t>Residual / Medical Adjustments</t>
  </si>
  <si>
    <t>Residual/Medical Adjustments = balancing figure capturing: (1) Medical (PRMS) benefits paid not disclosed in Note 39 across any of the 5 ARs; (2) LT/ST reclassification of employee benefit obligations per actuarial determination. Calculated as: Closing BS LT EBO − Opening − Service/Interest + Benefits Paid − Actuarial. FY25 restated to ₹16.84 Cr following correction of Row 111 from IS proxy formula to correct actuarial value of ₹35.34 Cr. Zero throughout FY26–FY30: Row 111 now uses correct actuarial values eliminating the proxy-vs-actual gap; PRMS and LT/ST reclassification components not forecastable from public data — modeled as zero on immateriality grounds given declining obligation base and stable actuarial assumptions across all 5 ARs reviewed.</t>
  </si>
  <si>
    <t>Closing Employee Benefit Obligation</t>
  </si>
  <si>
    <t>Other Provisions (LT) — Guarantee Repairs / LDs / Onerous Contract</t>
  </si>
  <si>
    <t>Opening Other LT Provisions</t>
  </si>
  <si>
    <t>+ Additions</t>
  </si>
  <si>
    <t>FY22–FY25: Note 37 (FY22/FY23 AR), Note 39 (FY24 AR), Note 40 (FY25 AR). FY26 ₹468 Cr: Q1 FY26 onerous directly disclosed in Q2 FY26 earnings call — management confirmed total onerous ₹1,000 Cr split FY25 Q4 ₹532 Cr (Note 61 FY25 AR) and FY26 Q1 ₹468 Cr. FY27–FY30 zero: P75I and P17A are cost-reimbursable, no fixed-price onerous risk. New fixed-price contracts (commercial MPVs, future ONGC) represent potential addition source but no cost overrun signals in any public disclosure — zero is the only defensible public-data assumption; flagged as downside risk.</t>
  </si>
  <si>
    <t>- Utilizations / Reversals</t>
  </si>
  <si>
    <t>FY22–FY25: same Note 37/39/40 sources, primarily LD reversals on submarine/destroyer contract finalizations. Forecast: total onerous stock ₹989.38 Cr (Note 61 FY25 AR ₹521.38 Cr + Q2 FY26 earnings call ₹468 Cr) straight-line over 5 years FY26–FY30 at ₹197.88 Cr/year per Ind AS 37/115 POC consumption. FY26 utilization = ₹197.88 Cr onerous + ₹11.06 Cr LD full clearance (Note 40 FY25 AR; Note 36.2 confirms zero estimated LD on contracts under execution; Note 53 confirms fifth submarine LD finalized) = ₹208.94 Cr. 5-year horizon anchored to: Note 21 FY25 AR non-current classification; Coast Guard 3–5 year build cycle from FY24 award; ONGC 2–3 year pipeline cycle; FY30 closing ₹225.25 Cr consistent with historical structural floor ₹214–218 Cr (FY23–FY24). Contract-level completion schedules not publicly disclosed — utilization schedule is a modeled estimate; acceleration or delay flows through IS Provisions.</t>
  </si>
  <si>
    <t>Closing Other LT Provisions</t>
  </si>
  <si>
    <t>Total Long-Term Provisions</t>
  </si>
  <si>
    <t>Employee Benefits (ST — current portion)</t>
  </si>
  <si>
    <t>Opening ST Employee Benefits</t>
  </si>
  <si>
    <t>+ Current Service + Interest Cost</t>
  </si>
  <si>
    <t>3Y Rolling Average (absolute values)</t>
  </si>
  <si>
    <t>ST Current Service + Interest Cost represents the short-term portion of actuarial service and interest cost on Gratuity and Leave Encashment obligations, allocated to ST per actuarial LT/ST determination each year. Historical values: FY22 ₹11.48 Cr, FY23 ₹11.13 Cr, FY24 ₹11.10 Cr, FY25 ₹10.71 Cr — tight range with marginal declining trend reflecting same headcount attrition driver as LT component (3,343 FY22 → 2,654 FY25 permanent employees, documented in S23 LTFA reasoning). Structurally stable given ST portion is a small actuarially-determined slice of total service+interest cost — not independently forecastable from public data without full actuarial breakdown by LT/ST split. 3Y rolling avg applied — FY26 ₹10.98 Cr = avg(FY23–FY25) — captures the marginal decline while smoothing year-to-year actuarial noise. Converges to ~₹10.91 Cr by FY30, consistent with gradual structural decline as obligation base depletes. Full actuarial build not performed — ±50% forecasting error on this line = ±₹5 Cr = &lt;0.05% of forecast PAT, negligible valuation impact; 3Y rolling avg is sufficient precision for an immaterial line. Source: Note 39.2 Gratuity + Note 39.3 Leave Encashment, FY25 AR; prior years from equivalent notes in FY21–FY24 ARs.</t>
  </si>
  <si>
    <t>Benefits Paid (ST) = IS Supplemental Benefits Paid total × ST ratio (BS ST EBO / Total EBO). Ratio varies year by year based on actuary's LT/ST determination. Same Note 39 source as LT Benefits Paid.</t>
  </si>
  <si>
    <t>Residual/Medical Adjustments (ST) = balancing figure, same methodology as LT Residual. Captures Medical benefits paid (not in Note 39) and actuarial LT/ST reclassification. Calculated sequentially to ensure Closing = BS ST EBO.</t>
  </si>
  <si>
    <t>Closing ST Employee Benefits</t>
  </si>
  <si>
    <t>Other ST Provisions — Guarantee Repairs / LDs (current)</t>
  </si>
  <si>
    <t>Opening ST Other Provisions</t>
  </si>
  <si>
    <t>3Y Rolling Avg % of COGS (see ratio row below)</t>
  </si>
  <si>
    <t>Guarantee Repairs additions = Guarantee Repairs % of COGS (Row 141) × IS COGS each forecast year. Ratio and methodology documented in Row 141. Source: Note 37 (FY22/FY23 AR), Note 39 (FY24 AR), Note 40 (FY25 AR).</t>
  </si>
  <si>
    <t>ST Utilizations = Note 37/39/40, current provision utilizations. FY22-FY23 zero (no Guarantee Repair claims settled), FY24 ₹67.61 Cr (Guarantee Repairs utilized), FY25 ₹14.55 Cr (Custom Duty ₹4.26 + Guarantee Repairs ₹10.29). Source: same note references.</t>
  </si>
  <si>
    <t>Closing ST Other Provisions</t>
  </si>
  <si>
    <t>Guarantee Repairs Addition % of COGS</t>
  </si>
  <si>
    <t>Guarantee Repairs additions as % of COGS. Actuals derived directly from Note 37 (FY22/FY23 AR), Note 39 (FY24 AR), Note 40 (FY25 AR) additions divided by IS COGS each year. Historical: FY22 1.60%, FY23 1.30%, FY24 1.62%, FY25 2.41% — FY25 elevated by triple delivery (INS Surat, Nilgiri, Vaghsheer). 3Y rolling avg applied from FY26 — FY25 included in window; elevated FY25 ratio naturally moderates as it rolls through. COGS preferred over revenue — warranty claims are cost-based; total COGS used as warranty claim composition not disclosed in any AR.</t>
  </si>
  <si>
    <t>Total Short-Term Provisions</t>
  </si>
  <si>
    <t>S05 — JV / Associate Equity-Method Roll-forward</t>
  </si>
  <si>
    <t>Opening Investment in JV (carrying value)</t>
  </si>
  <si>
    <t>+Dividend from GSL (standalone IS) / Earnings From Equity Investments</t>
  </si>
  <si>
    <t>Flat (₹50 Cr)</t>
  </si>
  <si>
    <t>Dividend from GSL represents MDL's 47.21% equity stake income on standalone basis, carried at cost (₹6 Cr). Historical: FY22 ₹23.36 Cr, FY23 ₹26.65 Cr, FY24 ₹36.55 Cr, FY25 ₹47.54 Cr — consistent upward trend reflecting GSL's expanding naval order book under same MoD DPSU framework. No GSL-specific financial disclosures available in MDL's AR beyond dividend quantum. Growth rate approaches produce unstable outputs given limited data points and lumpy historical growth (14–37% range). Flat ₹50 Cr applied — marginally above FY25 actuals, conservative acknowledgment of upward trend without false precision. Immaterial line: &lt;2% of forecast PAT, negligible valuation impact.</t>
  </si>
  <si>
    <t>− Dividend Received from JV (cash, to CF CFI)</t>
  </si>
  <si>
    <t>± OCI / Translation adjustments</t>
  </si>
  <si>
    <t>OCI/Translation = zero all years. GSL (Goa Shipyard Ltd) is an Indian entity with INR functional currency — no foreign currency translation differences. Equity income consistently equals dividends received (100% payout ratio), resulting in zero net BS movement to investment carrying value.</t>
  </si>
  <si>
    <t>Closing Investment in JV</t>
  </si>
  <si>
    <t>Cash Payout Ratio (Dividend / Equity Income)</t>
  </si>
  <si>
    <t>S06 — Cash &amp; Investment Portfolio Waterfall</t>
  </si>
  <si>
    <t>Opening Cash &amp; Cash Equivalents</t>
  </si>
  <si>
    <t>3Y Rolling Avg % of Total Cash &amp; Investments</t>
  </si>
  <si>
    <t>Historical Cash &amp; Cash Equivalents as % of Total Cash &amp; Investments: FY22 6.3%, FY23 14.1%, FY24 36.7%, FY25 32.7%. FY22 is pre-distortion baseline; FY23–25 elevated as large MoD milestone payments on P15B destroyer deliveries (4 ships, FY22–25) and P17A frigate deliveries temporarily inflated current account balances before being swept into FDs. 6 remaining P17A frigates (of 7 total) pending delivery FY26–FY29 — each delivery triggers large milestone payment, sustaining elevated cash balance through FY29. 3Y rolling avg applied — naturally captures delivery cycle elevation in near-term forecast years as FY23–25 high-cash years roll through the window, then moderates as post-delivery years enter the window in FY29–30. STI = Total Cash &amp; Investments − Cash &amp; Cash Equivalents, absorbing residual treasury sweep into fixed deposits.</t>
  </si>
  <si>
    <t>Opening Short-Term Investments (Fixed Deposits / Liquid Funds)</t>
  </si>
  <si>
    <t>Opening Total Cash &amp; Investments</t>
  </si>
  <si>
    <t>+ Net Cash from Operating Activities (link from CF)</t>
  </si>
  <si>
    <t xml:space="preserve">− CapEx </t>
  </si>
  <si>
    <t xml:space="preserve">− Dividends Paid </t>
  </si>
  <si>
    <t>± Other CF items (lease principal, etc.)</t>
  </si>
  <si>
    <t>Net Change in Cash &amp; Investments</t>
  </si>
  <si>
    <t>Closing Total Cash &amp; Investments</t>
  </si>
  <si>
    <t xml:space="preserve">Closing Cash &amp; Cash Equivalent </t>
  </si>
  <si>
    <t>Closing  Short-Term Investments (Fixed Deposits / Liquid Funds)</t>
  </si>
  <si>
    <t>Error Check — Closing Total vs BS (Cash + Bank Balances)</t>
  </si>
  <si>
    <t>S07 — Equity Roll-forward (Retained Earnings + Other Comprehensive Income)</t>
  </si>
  <si>
    <t>Share Capital (stable — no issuances assumed)</t>
  </si>
  <si>
    <t>Retained Earnings</t>
  </si>
  <si>
    <t xml:space="preserve">  Opening Retained Earnings</t>
  </si>
  <si>
    <t>Opening Retained Earnings FY22 adjusted by +54.81 Cr (FY21 cumulative OCI balance of -54.81 Cr extracted from FY21 Statement of Changes in Equity). Adjustment required because BS 'Other Equity' line combines Retained Earnings and cumulative OCI. S08 separates these two components for forecast modeling purposes. Without adjustment, error check would show persistent -54 Cr gap across all years.</t>
  </si>
  <si>
    <t xml:space="preserve">  + Net Income for the year (from IS)</t>
  </si>
  <si>
    <t xml:space="preserve">  − Dividends Paid</t>
  </si>
  <si>
    <t xml:space="preserve">  Closing Retained Earnings</t>
  </si>
  <si>
    <t>Other Comprehensive Income (cumulative)</t>
  </si>
  <si>
    <t xml:space="preserve">  Opening OCI balance</t>
  </si>
  <si>
    <t>Opening OCI Balance FY22 = -₹54.81 Cr extracted from Statement of Changes in Equity, FY21 AR. Cumulative actuarial losses on defined benefit plans since Ind AS adoption. FY21 annual OCI = +₹13.57 Cr (gain), cumulative closing = -₹54.81 Cr. FY23 onwards = prior year Closing OCI formula.</t>
  </si>
  <si>
    <t xml:space="preserve">  + OCI for the year (actuarial, FX, etc.)</t>
  </si>
  <si>
    <t>3Y Rolling Avg (absolute values)</t>
  </si>
  <si>
    <t>OCI driven by actuarial remeasurement of defined benefit obligations per Ind AS 19 — direction determined by discount rate movements (proxied by 10Y G-Sec yield), salary escalation assumptions, and headcount trajectory. Actuarial gains and losses are mean-reverting over full rate cycles; no structural directional bias exists over a 5-year forecast horizon. Historical: FY22 -₹4.06 Cr, FY23 -₹0.08 Cr, FY24 -₹4.56 Cr, FY25 -₹2.75 Cr — small negative bias reflecting post-COVID discount rate normalization. 3Y rolling avg applied — smooths year-to-year actuarial noise while acknowledging OCI will occur annually on MDL's defined benefit portfolio. Forecasting exact actuarial movements requires full actuarial valuation inputs not available in public disclosures. Immaterial: &lt;0.1% of total equity throughout forecast period.</t>
  </si>
  <si>
    <t xml:space="preserve">  Closing OCI</t>
  </si>
  <si>
    <t>Total Shareholders' Equity</t>
  </si>
  <si>
    <t>S08 — Dividend Schedule</t>
  </si>
  <si>
    <t>Net Income to Common (link from IS)</t>
  </si>
  <si>
    <t>Payout Ratio (%) [TOTAL DIVIDEND]</t>
  </si>
  <si>
    <t>Flat (30.0%)</t>
  </si>
  <si>
    <t>Historical: FY22 30.0%, FY23 30.0%, FY24 30.0% — three consecutive years locked at exactly 30%, indicating explicit Board/MoD dividend policy rather than discretionary decision. FY25 dropped to 22.5% driven by sharp cut in final dividend (₹54.66 Cr vs ₹244.25 Cr FY24) — management conserving cash ahead of Nhava Yard CapEx program execution. FY25 treated as temporary deviation, not policy change. MDL is a DPSU with Government of India holding 84.83% — dividend policy set by MoD/DPE guidelines which historically target 30% minimum payout for profitable DPSUs. Flat 30% applied throughout FY26–30, consistent with stated policy and reverting from FY25 temporary conservatism.</t>
  </si>
  <si>
    <t>Total Dividend Declared</t>
  </si>
  <si>
    <t>Payout Ratio (%) [INTERIM  DIVIDEND]</t>
  </si>
  <si>
    <t>Historical interim payout ratio: FY22 24.4%, FY23 17.1%, FY24 16.8%, FY25 20.1%. FY23–24 near-identical at 17% despite net income nearly doubling (₹1,073 Cr to ₹1,845 Cr) — confirms ratio stability is deliberate, not coincidental. No explicit interim dividend policy disclosed in Board Report or Notes across any of the 5 ARs reviewed; pattern inferred from observed behavior. 3Y rolling avg applied (FY26: 18.0% = avg FY23–25) — preferred over flat given natural rolling update as new actuals replace older data points. Final Dividend = Total Declared − Interim Declared, capturing residual Board discretion at year-end AGM.</t>
  </si>
  <si>
    <t>Interim Dividend Declared</t>
  </si>
  <si>
    <t>Final Dividend Declared</t>
  </si>
  <si>
    <t>S09 — Tax Schedule (Current + Deferred Reconciliation)</t>
  </si>
  <si>
    <t>Profit Before Tax (link from IS)</t>
  </si>
  <si>
    <t>Effective Tax Rate (accrual, from IS)</t>
  </si>
  <si>
    <t>Effective tax rate = Total Tax Expense / PBT. Historical: FY22 24.1%, FY23 24.9%, FY24 25.0%, FY25 25.2% — converging to India's statutory rate of 25.17% (Section 115BAA, turnover &gt;₹400 Cr). FY22 deferred credit ₹23.22 Cr pulled rate below statutory; FY25 deferred charge ₹78.47 Cr reflects timing difference reversals on onerous contract provisions, nudging rate marginally above. No SEZ benefits, export tax holidays, or DPSU-specific exemptions disclosed in any AR. Prior period adjustments immaterial and non-recurring. 3Y rolling average applied (FY26: 25.03% = avg FY23–25) — tight range given statutory anchor, rolls forward each year. In forecast, Total Tax Expense = PBT × rolling avg effective tax rate.</t>
  </si>
  <si>
    <t>Total Tax Expense (IS line)</t>
  </si>
  <si>
    <t>Current Tax (payable to GoI)</t>
  </si>
  <si>
    <t>Current Tax = IS supplemental breakdown sourced from Income Tax Note of each AR. FY21: Note 9 FY21 AR; FY22: Note 9 FY22 AR; FY23: Note 9 FY23 AR; FY24–25: IS P&amp;L face. Includes all current year tax provisions payable to GoI (Government of India). Forecast: fully derived — Current Tax = Total Tax Expense − Deferred Tax − Prior Period Adjustments.</t>
  </si>
  <si>
    <t>Deferred Tax (credit) / charge</t>
  </si>
  <si>
    <t>Deferred Tax Credit/(Charge) = IS supplemental breakdown. Credit (negative) = DTA increases, reducing effective tax rate below statutory rate. All years sourced from Income Tax Note of respective ARs. Forecast: links from S05 DTA roll-forward. Onerous contract provisions creating large FY24–25 timing differences are non-recurring; no new large provision events assumed post-FY25. Conservative assumption — upside exists if new provisions generate additional DTA credits, reducing effective cash tax burden.</t>
  </si>
  <si>
    <t>Prior period adjustments</t>
  </si>
  <si>
    <t>Prior Period Tax Adjustments: FY21 ₹10.60 Cr, FY23 ₹1.01 Cr, FY24 ₹1.76 Cr (excess/short provision for earlier years). Source: Income Tax Note, respective ARs. FY22 and FY25 = zero. Non-recurring by nature, no predictable pattern, immaterial. Forecast: zero.</t>
  </si>
  <si>
    <t>Cash Tax Paid (CF item)</t>
  </si>
  <si>
    <t>Cash Tax Paid: Cash Tax differs from accrual Current Tax due to India's advance tax system — quarterly installments based on estimated income create timing mismatches, compounded by prior year demands and refunds settled in current period. Historical Cash Tax Rate (Cash Tax / PBT): FY22 39.1% (elevated — FY21 underpayment settled), FY23 21.8% (low — refunds received), FY24 27.5%, FY25 30.3%. Volatile by nature — timing mismatches inherently unpredictable. 3Y rolling avg applied (FY26: 26.5% = avg FY23–25). Cash Tax Paid = PBT × rolling avg rate. CF operating cash flow line.</t>
  </si>
  <si>
    <t>Cash Tax Rate (Cash Tax / PBT)</t>
  </si>
  <si>
    <t>S10 — Interest Income &amp; Expense Build-up</t>
  </si>
  <si>
    <t>Interest Income</t>
  </si>
  <si>
    <t xml:space="preserve">Average Investment Portfolio </t>
  </si>
  <si>
    <t>Yield (%)</t>
  </si>
  <si>
    <t>Flat (Yield 6.85%)</t>
  </si>
  <si>
    <t>Historical yield on investment portfolio: FY22 3.63%, FY23 4.98%, FY24 7.51%, FY25 6.85% — directly tracks RBI repo rate cycle. FY22 low (3.63%) reflects post-COVID emergency repo rate of 4.00%; FY23 rising (4.98%) as RBI hiked from 4.00% to 6.50% through the year; FY24 peak (7.51%) as repo held at 6.50%; FY25 declining (6.85%) as RBI cut 25bps to 6.25% in February 2025. Current repo rate 6.25% (February 2026 cut). MDL's FD portfolio earns ~50-75bps above repo — consistent with FY25 actual of 6.85%. Flat 6.85% applied throughout FY26-30 — anchored to current rate environment. Further RBI cuts possible but speculative; no forward guidance on rate trajectory incorporated in base case. 3Y rolling avg rejected as self-referential from FY27 onwards when forecast values feed back into the average.</t>
  </si>
  <si>
    <t>Interest Income (to IS)</t>
  </si>
  <si>
    <t>Average Lease Liability (from S02)</t>
  </si>
  <si>
    <t>Lease-implicit Rate (%)</t>
  </si>
  <si>
    <t>Interest on Lease (to IS finance cost)</t>
  </si>
  <si>
    <t>Deferred Payment to Foreign Supplier</t>
  </si>
  <si>
    <t>Opening Outstanding</t>
  </si>
  <si>
    <t>Opening Outstanding = Note 43 (FY25 AR) / equivalent notes in other ARs: non-current + current Deferred Payment Liability to foreign supplier (Russian deferred SDR credit for submarine equipment, payable over 45 years from 1992-93). FY21 ₹23.26, FY22 ₹26.89, FY23 ₹27.50 Cr.</t>
  </si>
  <si>
    <t>Closing Outstanding</t>
  </si>
  <si>
    <t>Actuals:
Closing Outstanding = Note 43 FY25 AR (amortized cost of Russian SDR deferred state credit, payable over 45 years from 1992-93 in equal annual installments of ₹474 lakhs). Balance reinstated at prevailing SDR/INR rate at each year-end. Values: FY22 ₹26.89 Cr, FY23 ₹27.50 Cr, FY24 ₹27.13 Cr, FY25 ₹27.33 Cr. Reimbursable by Indian Navy per intergovernmental agreement.
Forecast:
Closing balance = annual principal repayment of ₹474 lakhs (Note 43) net of SDR/INR revaluation at each year-end — two opposing forces. Historical closing range ₹26.89–27.50 Cr over 4 years confirms structural offsetting. Neither force independently forecastable from public data: repayment schedule is fixed but SDR/INR rate requires macroeconomic assumptions beyond the scope of a public-data model. 3Y rolling avg of closing balance applied — captures net realized outcome of both forces without requiring a standalone SDR/INR forecast. Produces FY26–FY30 range ₹27.26–27.32 Cr, consistent with observed historical range. Source: Note 43, FY25 AR; prior year equivalent notes.</t>
  </si>
  <si>
    <t>Average Outstanding</t>
  </si>
  <si>
    <t>Implied Rate (%)</t>
  </si>
  <si>
    <t>Implied rate = Interest on Deferred Foreign Payment / Average Outstanding — back-calculated from Note 43 disclosed values. Represents the effective amortized cost unwinding rate under Ind AS 109 on the Russian SDR deferred credit, driven by the discount rate applied at inception and subsequent SDR/INR revaluation adjustments. Historical: FY22 15.87%, FY23 17.43%, FY24 15.85%, FY25 15.68% — tight range of 172bps over 4 years, structurally stable. FY23 marginal spike driven by SDR/INR movement in that year. Rate is determined by contract terms and prevailing SDR rates — neither independently forecastable from public data. 3Y rolling avg applied — range stability confirms no structural trend; rolling avg smooths year-to-year SDR volatility while remaining anchored to observed contractual behavior. Source: Note 43, FY25 AR; prior year equivalent notes.</t>
  </si>
  <si>
    <t>Interest on Deferred Foreign Payment (to IS Finance Cost)</t>
  </si>
  <si>
    <t>Deferred Vendor Deposits</t>
  </si>
  <si>
    <t>Opening Outstanding = 'Security and other deposits' in Other Non-Current Financial Liabilities (Note 20) + Other Current Financial Liabilities (Note 24). FY21 LT ₹0.75 + Current ₹3.41 = ₹4.16 Cr; FY22 ₹4.44, FY23 ₹4.85 Cr.</t>
  </si>
  <si>
    <t>Actuals:
Closing Outstanding = security deposits received from vendors at below-market rates, discounted under Ind AS 109. Source: Note 20 (Other Non-Current Financial Liabilities) + Note 24 (Other Current Financial Liabilities), FY25 AR and prior year equivalents. Values: FY22 ₹4.44 Cr, FY23 ₹4.85 Cr, FY24 ₹4.58 Cr, FY25 ₹4.48 Cr.
Forecast:
Closing balance driven by new vendor security deposits received offset by maturities — neither component disclosed separately in any of the 5 ARs. Historical closing range ₹4.44–4.85 Cr over 4 years confirms structural stability with minor fluctuations. 3Y rolling avg applied — captures net realized outcome of deposit additions and maturities without requiring independent forecast of either. Produces FY26–FY30 range ₹4.56–4.64 Cr, consistent with observed historical range. Source: Note 20 and Note 24, FY25 AR; prior year equivalent notes.</t>
  </si>
  <si>
    <t>Implied rate = Interest on Deferred Vendor Deposits / Average Outstanding — back-calculated from Note 20 and Note 24 disclosed values. Represents effective amortized cost unwinding rate under Ind AS 109 on below-market vendor security deposits, driven by discount rate applied at inception of each deposit contract. Historical: FY22 1.86%, FY23 1.29%, FY24 0.85%, FY25 1.32% — fluctuations driven by mix of deposit contracts at different contractual rates and timing of new deposits vs maturities. Individual deposit terms not disclosed in any of the 5 ARs — rate not independently forecastable. 3Y rolling avg applied — smooths contract mix volatility while remaining anchored to observed behavior. Source: Note 20 and Note 24, FY25 AR; prior year equivalent notes.</t>
  </si>
  <si>
    <t>Interest on Deferred Vendor Deposits (to IS Finance Cost)</t>
  </si>
  <si>
    <t>Total Finance Cost (to IS)</t>
  </si>
  <si>
    <t>Error Check — Total Finance Cost vs IS</t>
  </si>
  <si>
    <t>S11 — Contract Liability Roll-forward</t>
  </si>
  <si>
    <t>Opening Contract Liability</t>
  </si>
  <si>
    <t xml:space="preserve">+ New Advances Received </t>
  </si>
  <si>
    <t>New Advances Received as % of Closing Book Order</t>
  </si>
  <si>
    <t>3Y Rolling Avg % of Closing Order Book</t>
  </si>
  <si>
    <t>New advances received = customer advance payments comprising mobilization advances on new contract signings and milestone-triggered advance calls on existing contracts in execution. Both components scale with total order backlog — larger backlog drives proportionally higher advance calls across the portfolio. Historical ratio of new advances to closing order book stable at 19–28% across FY22–25; 3Y rolling avg applied. P75I mobilization advance (FY27) is captured proportionally through the step-change in closing order book from ₹25,035 Cr (FY26) to ₹86,919 Cr (FY27) — the methodology naturally reflects the step-up without requiring a separate hardcoded assumption.</t>
  </si>
  <si>
    <t xml:space="preserve"> -Revenue Recognized (= IS Revenue from Operations)</t>
  </si>
  <si>
    <t>Closing Contract Liability</t>
  </si>
  <si>
    <t>No</t>
  </si>
  <si>
    <t>INCOME STATEMENT</t>
  </si>
  <si>
    <t>YoY Growth Rates</t>
  </si>
  <si>
    <t>Ship Construction (73% of FY25 revenue) forecast triangulates three public-data anchors: (1) CFO guidance (FY25 AR Q&amp;A, Q7): "medium-term revenue growth in 8-10% range, factoring in design and preparatory stages for new large-scale projects" — explicit base for FY26-FY28. (2) Defence budget top-down: Union Budget FY26 Navy capital outlay ~₹52,000 Cr × MDL's historical share ~15-18% = ₹7,800-9,400 Cr, consistent with 8-12% growth on FY25 base. (3) Peer trajectory: Cochin Shipyard's revenue decelerated to ~4% YoY FY24 post-IAC1 delivery — suggests post-delivery execution gap is real risk. MDL's P17A tri-commissioning (Jan 2025, INS Surat/Nilgiri/Vaghsheer) marks similar transition point. FY26-FY28 aligned with CFO guidance mid-range. FY29-FY30 re-accelerates on: (a) Nhava Yard capacity doubling per management CAPEX plan (AR FY25); (b) P17B (~₹70,000 Cr, 7 frigates, Janes estimate) and P75I (~₹45-50,000 Cr, 6 submarines, MoD AoN status) entering execution — upside levers, not certainties. Order Book FY25 ₹32,260 Cr (2.82× revenue) provides baseline visibility.</t>
  </si>
  <si>
    <t>Flat (₹1,010 Cr)</t>
  </si>
  <si>
    <t>Offshore Project is MDL's newly-established business vertical. Revenue path: FY21-FY23 ₹0, FY24 ₹3.23 Cr (initial recognition), FY25 ₹1,009.64 Cr (first full execution year). Growth driven by three ONGC contracts landed at ~18-month cadence: PRPP (NOA Dec 2023), DSF-II (NOA Aug 2024), PRP 8(a) (NOA Sept 2024) — total physical scope 321 km pipeline + 6 new platforms + 3 modifications, per MDL FY25 AR Section 2.1(g). Individual contract values and POC schedules are not publicly disclosed. Held flat at ₹1,010 Cr for FY26-FY30 given: (1) absence of public data precludes credible year-by-year build; (2) segment represents 8.8% of total revenue — a ±50% swing = ±₹500 Cr = ±4.4% impact on revenue and ~1.5% on PAT, immaterial to valuation thesis; (3) flat assumption is deliberately conservative — genuine ramp is possible if Nhava Yard commissioning (FY28 per management guidance) enables larger platform fabrication. Upside sensitivity captured in Scenarios sheet rather than embedded in base forecast.</t>
  </si>
  <si>
    <t>3Y Rolling Avg Growth</t>
  </si>
  <si>
    <t>Sale of Base &amp; Depot Spares = post-delivery spare parts to Indian Navy for operational fleet (43+ ships/submarines delivered since 2000). Volatile: +58.5% (FY22), -24.0% (FY23), +62.8% (FY24), +0.9% (FY25). FY23 drop correlates with MRLC contract gap: both Ship Repair and Base &amp; Depot Spares collapsed in FY23 when first MRLC (INS Shishumar) completed and second MRLC (INS Shankush) hadn't ramped — major submarine refits drive both service revenue and spares procurement. However, proportion of spares tied to MRLC vs. routine fleet maintenance not disclosed, preventing separate modeling. Tested Navy capital budget correlation: FY23 Navy capital outlay +43% yet spares -24% — capital budget funds new construction, not spares/maintenance. Represents 10.7% FY25 revenue, 6-7% gross margin (₹1,228 Cr sales vs ₹1,152 Cr procurement = pass-through). 3Y rolling average YoY growth applied: MRLC component inseparable from total, immaterial to valuation (±20% error = ±2% revenue impact).</t>
  </si>
  <si>
    <t>Flat (₹25.77 Cr)</t>
  </si>
  <si>
    <t>Sale of Other Goods = miscellaneous goods not classified as spares or scrap, per Note 27. New line starting FY24 (₹21.29 Cr), FY25 (₹25.77 Cr, +21% YoY). No AR definition of composition. Held flat at ₹25.77 Cr given: (1) insufficient data (only 2 years) to establish trend; (2) ultra-immaterial at 0.23% of FY25 revenue.</t>
  </si>
  <si>
    <t>MRLC contract timeline + base inflation growth</t>
  </si>
  <si>
    <t>Ship Repair = MRLC submarine refits + Coast Guard/commercial repairs. Second MRLC (₹2,725 Cr, Jun 2023-Jun 2026, INS Shankush) drives FY24-25 recovery from FY23 trough (₹169 Cr when first MRLC completed and second hadn't ramped). FY26 = ₹574 Cr (FY25 × 1.05, late-stage MRLC execution). FY27 = ₹279 Cr (3 months MRLC completion at ₹547 Cr run-rate + 9 months base work at ₹190 Cr, where ₹190 = FY23 base ₹169 Cr grown at 3% inflation over 4 years). FY28-30 = ₹196→₹202→₹208 Cr (base work only, FY23 ₹169 Cr grown at 3%/yr, no third MRLC assumed). Third/fourth MRLC contracts (boats 3 &amp; 4 of SSK fleet) remain unconfirmed — upside not modeled in base case.</t>
  </si>
  <si>
    <t>Other Operating Revenue = base recurring (scrap + services) + LD reversals. FY23-25 driven by LD reversals (₹243-399-236 Cr) from major Navy warship deliveries. LD reversals are project-specific and unpredictable — driven by delivery delays and Navy's willingness to waive penalties. Cannot model LD component separately without contract-level disclosure. 3Y rolling average applied: captures blended pattern including delivery delays and typical LD reversals, consistent with MDL's historical execution pattern.</t>
  </si>
  <si>
    <t>3Y Rolling Avg % of Revenue Base</t>
  </si>
  <si>
    <t>COGS = Materials Consumed + Sub-Contract. Historical % of revenue base (Ship + Offshore + Other Goods + Repair): FY21-22 stable ~66%, FY23 spike to 71.7%, FY24 69.6%, FY25 drop to 58.7%. FY25 drop driven by inventory destocking: equipment inventory ₹6,536 Cr (FY23) → ₹3,492 Cr (FY25), consumed ₹1,418 Cr without replenishment as purchases stayed flat ₹347 Cr (Note 29, FY25 AR p. 205). Subcontract jumped ₹382 Cr → ₹1,321 Cr to offset: management confirmed 27 ships building simultaneously created capacity constraints, Coast Guard vessels use subcontract model, offshore projects = "turnkey outsourcing" (Q4 FY25, Q2 FY26 earnings calls). 3Y rolling average applied: FY26 base 66.7% = (71.7 + 69.6 + 58.7) / 3, normalizes inventory cycle and project-mix volatility. Represents 58-72% of revenue base, material to margins.</t>
  </si>
  <si>
    <t>3Y Rolling Avg % of Sale of Base &amp; Depot Spares</t>
  </si>
  <si>
    <t>Procurement of Base &amp; Depot Spares = cost of acquiring spare parts from OEMs and vendors for resale to Indian Navy, representing near pass-through with minimal margin. Historical procurement = 93% of spares revenue (range 92.6-94.2% across FY21-25), yielding ~7% gross margin for MDL's warehousing and logistics. Unlike volatile revenue (+58.5% FY22, -24.0% FY23, +62.8% FY24), cost structure remains stable: procurement tracks revenue mechanically regardless of MRLC refit timing or Navy maintenance cycles. No separate sourcing strategy modeled — procurement moves in lockstep with spares sales. 3Y rolling average applied to % (FY26 base 93.5% = average of 92.6%, 94.2%, 93.8%).</t>
  </si>
  <si>
    <t>3Y Rolling Avg % of Revenue</t>
  </si>
  <si>
    <t>Employee Benefit Expenses = salaries, wages, pension, PF contributions, welfare, gratuity, leave encashment per Note 30 (FY25 AR p. 206). Declined as % of revenue from 16.1% (FY21) to 8.6% (FY25): revenue grew ₹4,048 Cr → ₹11,432 Cr (+182%) while employee costs grew ₹653 Cr → ₹979 Cr (+50%). Components (FY25): salaries ₹730 Cr (+6% YoY), pension ₹56 Cr (jumped from ₹23 Cr FY24), PF ₹43 Cr, welfare ₹98 Cr, gratuity ₹13 Cr, leave encashment ₹38 Cr. Pension spike not explained in AR notes. MDL doesn't disclose headcount data. 3Y rolling average % of revenue applied (FY26 base 9.4% = average 10.1%, 9.5%, 8.6%).</t>
  </si>
  <si>
    <t>Salaries &amp; Bonus % of Employee Costs</t>
  </si>
  <si>
    <t>3Y Rolling Avg % of Total</t>
  </si>
  <si>
    <t>Salaries consistently ~74-76% of total employee costs. 3Y rolling average applied.</t>
  </si>
  <si>
    <t>Pension % of Employee Costs</t>
  </si>
  <si>
    <t>Pension contribution ~3-6% of total. FY25 spike to 5.7% from DA revision; 3Y rolling average normalises.</t>
  </si>
  <si>
    <t>PF &amp; ESI % of Employee Costs</t>
  </si>
  <si>
    <t>PF &amp; ESI contribution stable ~4.5-5.2%. 3Y rolling average applied.</t>
  </si>
  <si>
    <t>Workmen Welfare % of Employee Costs</t>
  </si>
  <si>
    <t>Welfare expenses ~9-11% of total. 3Y rolling average applied.</t>
  </si>
  <si>
    <t>Gratuity % of Employee Costs</t>
  </si>
  <si>
    <t>Gratuity ~1.1-1.3% of total; stable actuarial charge. 3Y rolling average applied.</t>
  </si>
  <si>
    <t>Leave Encashment % of Employee Costs</t>
  </si>
  <si>
    <t>Leave encashment ~3.3-4.0% of total. 3Y rolling average applied.</t>
  </si>
  <si>
    <t>Power &amp; Fuel = electricity for workshops, welding, machinery, cranes plus diesel for forklifts, generators, marine equipment. Declined as % of revenue from 0.28% (FY21) to 0.17% (FY25): absolute costs grew ₹11 Cr → ₹20 Cr (+73%) while revenue grew +182%, indicating fixed-cost base spread over larger production volume. No breakdown provided in AR notes. Ultra-immaterial at 0.17% of FY25 revenue — ±50% forecasting error = ±₹10 Cr impact = 0.4% of PAT. 3Y rolling average % of revenue applied (FY26 base 0.19% = average 0.21%, 0.19%, 0.17%).</t>
  </si>
  <si>
    <t>3Y Rolling Avg % of COGS</t>
  </si>
  <si>
    <t>Other Expenses — Project Related = facility hire for external fabrication, technician fees, sea trials/commissioning, consultant fees (Note 32, FY25 AR p. 207). Volatile: FY21-22 ~₹165 Cr, FY23 spike ₹289 Cr (P15B/P17A tri-delivery), FY24 drop ₹167 Cr, FY25 ₹300 Cr. FY25 jump driven by facility hire ₹31 → ₹183 Cr: management cited 27 ships building simultaneously creating capacity constraints, external workshops required for block fabrication then transported to MDL (Q4 FY25 earnings call). As % of COGS ranges 3.1% (FY24 gap year) to 7.4% (FY21). Project-milestone dependent: spikes in delivery years (sea trials, commissioning costs), drops between deliveries. MDL doesn't disclose forward delivery schedules publicly, preventing year-specific modeling. 3Y rolling average % of COGS applied (FY26 base 4.7% = average 5.9%, 3.1%, 5.1%).</t>
  </si>
  <si>
    <t>Other Expenses = company-wide overhead: liquidated damages (delay penalties), CSR (mandatory 2% of PAT), security, insurance, repairs, travel, miscellaneous per Note 33 (FY25 AR p. 208). Lumpy components drive volatility: LD ₹22 Cr (FY24) → ₹57 Cr (FY25), bad debt ₹0 → ₹15 Cr, miscellaneous ₹13 → ₹36 Cr. As % of total revenue: 2.8% (FY21), 3.2% (FY22), 2.8% (FY23), 2.1% (FY24), 2.8% (FY25). CSR formulaic but creates circular reference (CSR = 2% of PAT, PAT includes CSR), preventing component modeling. LD project-specific, unpredictable without delivery schedules. 3Y rolling average % of total revenue applied (FY26 base 2.57%), conservative vs. 2.8% reversion assumption given LD lumpiness.</t>
  </si>
  <si>
    <t>Revenue YoY Growth (FY26-27 hardcoded for onerous provision normalization)</t>
  </si>
  <si>
    <t>Provisions = guarantee repairs, onerous contracts, inventory obsolescence, doubtful debts (Note 34, FY25 AR p. 208). FY25 spiked to ₹747 Cr from FY21-24 baseline ₹20-169 Cr. Spike components: onerous contracts ₹521 Cr for Coast Guard and ONGC fixed-price projects hitting cost overruns, inventory obsolescence ₹90 Cr, guarantee repairs ₹131 Cr. Management disclosed ₹1,000 Cr total onerous provisions split across Q4 FY25 (₹532 Cr) and Q1 FY26 (₹468 Cr) for two specific contracts facing equipment cost inflation (Q2 FY26 earnings call). FY26 forecast ₹618 Cr = Q1 onerous ₹468 Cr + normalized baseline ₹150 Cr. FY27 onward: onerous contracts treated as non-recurring, baseline grows with revenue as warranty provisions scale with delivery activity. Historical growth volatile (+14%, +44%, -20% normalized), revenue linkage more defensible than trend extrapolation.</t>
  </si>
  <si>
    <t>Zero</t>
  </si>
  <si>
    <t>Currency exchange gains/losses ranged ₹0-0.21 Cr across FY21-25, representing &lt;0.01% of revenue. MDL's primary contracts with MoD/Indian Navy are rupee-denominated (97% of FY25 revenue). Export expansion underway: 4 additional MPV units to Denmark expected (total USD 142M spread FY26-29), Scorpene pressure hull sections being explored, marketing representatives appointed globally. However, forex exposure remains ~2-3% of revenue, with offsetting positions from USD-denominated export receivables and imported equipment payables. Net forex impact immaterial. Modeled as zero.</t>
  </si>
  <si>
    <t>Other Non-Operating Income</t>
  </si>
  <si>
    <t>Other Non-Operating Income ranged ₹62-115 Cr (FY22-25), averaging 1.07% of revenue. FY21 spike ₹206 Cr excluded as one-time item. AR provides no component breakdown. Absolute growth decelerating: FY22→23 +35%, FY23→24 +26%, FY24→25 +8%. Represents &lt;1.5% of revenue, &lt;5% of PAT. 3Y rolling average % of revenue applied - simple scalable approach for immaterial miscellaneous items.</t>
  </si>
  <si>
    <t>Gain on sale of assets ranged ₹0.04-1.48 Cr (FY21-25), averaging ₹0.84 Cr. Recurring from disposal of retired equipment, scrap sales per normal PP&amp;E replacement cycle. Represents &lt;0.02% of revenue, &lt;0.05% of PAT. Ultra-immaterial to valuation. Modeled as zero.</t>
  </si>
  <si>
    <t>No asset writedowns recorded FY21-25. Modeled as zero.</t>
  </si>
  <si>
    <t>Other Unusual Items: FY21 loss ₹126 Cr, FY22 loss ₹14 Cr (exceptional items), FY23-25 zero. By definition non-recurring. Modeled as zero.</t>
  </si>
  <si>
    <t>3Y Rolling Avg (Absolute ₹ Cr)</t>
  </si>
  <si>
    <t>Intangibles (₹21.4 Cr net in FY25) amortized over remaining life. FY22-25 range ₹4-7 Cr. 3Y rolling average applied as flat run-rate assumption; immaterial (&lt;0.5% of EBITDA).</t>
  </si>
  <si>
    <t>BALANCE SHEET</t>
  </si>
  <si>
    <t>Flat at FY25 closing (₹21.40 Cr)</t>
  </si>
  <si>
    <t>Other Intangible Assets = SAP-ERP and software licenses (Note 2, FY25 AR). Net block ₹21.40 Cr. Annual additions (~₹10 Cr, FY25) broadly offset by amortization (~₹7 Cr, FY25), producing a range-bound net block with no structural growth trend across FY21–25. MDL discloses no forward intangible investment program. Frozen at FY25 closing throughout FY26–30.</t>
  </si>
  <si>
    <t>Intangible Assets under Development = software/ERP under implementation per Note 2, FY25 AR. FY24 balance ₹3.39 Cr fully commissioned into operational intangibles during FY25 — closing balance zero. MDL discloses no new intangible development program in FY25 AR. Zero throughout FY26–30.</t>
  </si>
  <si>
    <t>Flat at FY25 closing (₹17.73 Cr)</t>
  </si>
  <si>
    <t>LT Trade Receivables = deferred debts per Note 6, FY25 AR. Balance ₹17.73 Cr — entirely classified as "more than 3 years outstanding" with zero movement across the ageing table. Counterparty is Indian Navy (sovereign) — no credit risk, no settlement pressure. Balance range-bound ₹15–18 Cr across FY21–25 with no structural movement in either direction. Frozen at FY25 closing throughout FY26–30.</t>
  </si>
  <si>
    <t>Flat at FY25 closing (₹20 Cr)</t>
  </si>
  <si>
    <t>LT Loans = unsecured loan receivable ₹20 Cr per Note 7, FY25 AR. Dormant FY21 (₹7 Cr) → zero FY22–FY23 → step-up to ₹20 Cr in FY24, unchanged in FY25. No counterparty, maturity, or repayment schedule disclosed across any AR. Two consecutive years of zero movement post step-up with no repayment signal. Frozen at FY25 closing throughout FY26–30</t>
  </si>
  <si>
    <t>5.5% annual growth</t>
  </si>
  <si>
    <t>Other LT Financial Assets dominated by leave encashment fund ₹133.65 Cr (92% of total) per Note 8, FY25 AR. Fund driven by permanent headcount × per-capita actuarial liability. Permanent headcount declining ~5.5%/yr (3,343 FY22 → 2,654 FY25) as MDL structurally shifts to fixed-term contracts. Per-capita fund value growing ~11%/yr (₹3.90 L FY22 → ₹5.03 L FY25) driven by DPE wage revision cycles. Net fund growth = per-capita escalation (~11%) − headcount attrition (~5.5%) = ~5.5%/yr, consistent with observed FY24 (+4.5%) and FY25 (+6.0%) actuals. Applied to total LTFA balance throughout FY26–30.</t>
  </si>
  <si>
    <t>Other Non-Current Assets = capital advances (₹115 Cr), GST ITC (₹316 Cr), VAT/sales tax receivable (₹65 Cr) per Note 11, FY25 standalone AR. FY24 peak (₹679 Cr) driven by Nhava Yard short-term phase advance payments and peak P75I procurement GST ITC; FY25 trough (₹393 Cr) as advances converted to CWIP upon construction commencement and ITC utilized post-procurement cycle. Balance expected to recover toward FY24 levels as: (1) long-term Nhava Yard phase (Dry Dock, Grand Assembly Area, 400T Goliath cranes per FY25 AR Future Outlook) requires fresh capital advances, and (2) GST ITC stabilizes at normalized procurement run-rate. 3Y rolling avg (FY23–25: ₹634 Cr) applied — anchors forecast above the FY25 trough without extrapolating the FY24 peak, reflecting the expected partial recovery trajectory. Nhava Yard phasing costs not publicly disclosed; no more precise assumption is supportable from available data.</t>
  </si>
  <si>
    <t>Current Loans = ₹0 across FY22–FY25 per BS. FY21 balance ₹2.12 Cr fully recovered. No current lending activity disclosed in any AR. Zero throughout FY26–30.</t>
  </si>
  <si>
    <t>3Y Rolling Avg Accrual Rate × S10 Average Investment Portfolio</t>
  </si>
  <si>
    <t>Other Current Financial Assets = interest accrued on deposits and advances per Note 16, FY25 AR — earned but uncollected interest on MDL's rolling FD portfolio at March 31. Accrual rate derived directly in the model as actual BS accrued balance ÷ S10 average investment portfolio for each historical year — ensuring the rate is always computed against the same interest-bearing corpus base used for yield calculation, maintaining internal consistency and avoiding hardcoded assumptions. Historical accrual rate stable at 1.10–2.21% across FY22–24, averaging 1.65% on a 3Y basis. S10 average investment portfolio used as denominator — it captures opening balance plus weighted mid-year additions, representing the actual interest-bearing corpus throughout the year, unlike closing portfolio which includes interest already received. 3Y rolling avg accrual rate applied to S10 forecast average portfolio throughout FY26–30. Item correctly excluded from CF operating working capital movements — interest received flows through investing activities upon FD maturity.</t>
  </si>
  <si>
    <t>Assets Held for Sale = retired equipment pending disposal per BS. Declining to near zero: FY24 ₹0.07 Cr, FY25 ₹0.06 Cr. No disposal program disclosed in any AR. Immaterial at &lt;0.01% of total assets. Modeled as zero throughout FY26–30.</t>
  </si>
  <si>
    <t>Other Current Assets = vendor advances paid to suppliers (96–99% of total across FY21–25) per Note 17, FY25 AR. Balance declined FY21–25 (₹6,837 Cr → ₹1,979 Cr) as large P75 submarine and P15B destroyer contracts completed and advance drawdowns outpaced new contract procurement. FY26–30 represents a structural ramp-up cycle — P75I (₹99,000 Cr, CNC negotiations complete), Coast Guard vessels (₹2,991 Cr, production commenced), and commercial MPVs all require fresh vendor advances as sub-vendor contracts are placed. Vendor advances as % of COGS declined from 255% (FY21) to 35% (FY25) through the drawdown cycle; 3Y rolling avg % of COGS applied throughout FY26–30 — naturally recovers from the FY25 trough as new procurement ramps, anchoring to the mid-cycle relationship between advances outstanding and annual procurement activity. Prepaid and other advances (₹89 Cr FY25) immaterial — absorbed into total.</t>
  </si>
  <si>
    <t>Contract Asset</t>
  </si>
  <si>
    <t>Prior Year Contract Asset × Ship Construction Revenue Growth Rate</t>
  </si>
  <si>
    <t>Contract Assets = unbilled revenue representing work performed in excess of billing milestones per Ind AS 115, FY25 AR. Balance is inherently volatile — FY21–FY25 range ₹57–₹605 Cr — driven entirely by where each project sits relative to contractual billing milestones at March 31. FY24 trough (₹57 Cr) reflects milestone bunching on late-stage P75 and P15B contracts; FY25 recovery (₹605 Cr) reflects multiple new contracts (Offshore Projects, Coast Guard, commercial MPVs) entering early execution phase simultaneously with work performed ahead of first billing milestones. FY26–30 order book (P75I ₹99,000 Cr, Coast Guard ₹2,991 Cr, commercial) sustains elevated concurrent early-execution load. Ship construction revenue growth rate applied to FY25 base — contract assets arise exclusively from construction contracts, making ship construction revenue the most direct available proxy for execution activity growth, with FY25 as the normalized concurrent execution baseline.</t>
  </si>
  <si>
    <t>Other Long-Term Financial Liabilities declined from ₹30.41 Cr (FY21) to ₹0.49 Cr (FY25) — FY21 balance represented security deposits received from sub-contractors, fully extinguished by FY22 as contracts completed. Range-bound ₹0.48–₹0.97 Cr across FY22–FY25 with no disclosed new obligations. Immaterial at &lt;0.01% of total liabilities. Zero throughout FY26–30.</t>
  </si>
  <si>
    <t>Prior Year − ₹6.87 Cr annual amortization</t>
  </si>
  <si>
    <t>Other Non-Current Liabilities = deferred revenue from funds received from Indian Navy for infrastructure projects per Note 22, FY25 AR. Total grant ₹92,761 lakhs fully received and capitalized — no new inflows disclosed or expected. Balance amortized annually as underlying infrastructure assets depreciate: FY24 amortization ₹682 lakhs, FY25 ₹687 lakhs — consistent at ~₹685 lakhs per year. Fixed amortization schedule applied: prior year balance less ₹6.87 Cr annually throughout FY26–30.</t>
  </si>
  <si>
    <t>Prior Year × Employee Cost Growth Rate</t>
  </si>
  <si>
    <t>Other Current Financial Liabilities dominated by accrued employee payables ₹214 Cr (82% of total) per Note 24, FY25 AR — representing salaries, PF, gratuity accrued but unpaid at March 31. FY23 decline was a one-time distortion from ₹27 Cr liquidated damages settlement (FY22) not recurring; underlying employee payables grew consistently FY22–FY25 (₹118 → ₹214 Cr) in line with DPE-guided salary escalation. Balance grows proportionally with employee cost base — prior year balance scaled by IS employee cost growth rate each year. Remaining components (interest on customer advances ₹19.72 Cr, security deposits ₹3.99 Cr) absorbed into overall balance — immaterial relative to employee payables.</t>
  </si>
  <si>
    <t>3Y Rolling Avg % of Total Operating Expenses</t>
  </si>
  <si>
    <t>Other Current Liabilities = statutory dues (GST, TDS, PF payable) and deferred deposits per Note 25, FY25 AR. Statutory dues accrue proportionally to business activity — GST on revenue, TDS and PF on procurement and employee payments — making total operating expenses the most direct available proxy. Historical ratio range-bound 0.25–0.43% across FY21–23 and FY25, with FY24 (0.70%) an outlier from statutory payment timing bunching. 3Y rolling avg % of total operating expenses applied throughout FY26–30 — FY24 outlier self-corrects as it rolls out of the window in FY27, consistent with model-wide methodology.</t>
  </si>
  <si>
    <t>Non-Current Tax Assets (net) = Gross advance tax paid and TDS receivable less provision for current tax raised (Note 10, FY25 AR). Represents the structural timing gap between advance tax payments (quarterly, based on estimated income) and tax assessment completion (typically 2–3 year lag under Indian Income Tax Act). Gross assets growing rapidly — ₹1,604.06 Cr FY24 to ₹2,546.57 Cr FY25 — as advance tax accumulates with rising profitability; gross liabilities growing in parallel as current tax provisions increase. Net balance: FY22 ₹313.20 Cr, FY23 ₹265.50 Cr, FY24 ₹178.56 Cr, FY25 ₹259.21 Cr — no directional trend, fluctuates as prior year assessments complete and new advance payments accumulate. Assessment completion timeline not disclosed in any of the 5 ARs and not determinable from public data. 3Y rolling avg of net balance applied — captures the structural persistence of the timing gap without requiring independent forecast of assessment timelines or advance tax payment schedule. Produces FY26–FY30 range ₹224–239 Cr, consistent with observed historical range. Source: Note 10, FY25 AR; prior year equivalent notes.</t>
  </si>
  <si>
    <t>CASH FLOW</t>
  </si>
  <si>
    <t>Amortization of Prepaid Rentals</t>
  </si>
  <si>
    <t>Amortization of prepaid rentals = ₹0.15 Cr annual charge on prepaid lease deposits, fully amortized by FY25 — closing balance zero per BS. No new prepaid rental arrangements disclosed. Zero throughout FY26–30.</t>
  </si>
  <si>
    <t>FX Variation</t>
  </si>
  <si>
    <t>FX variation = unrealized foreign exchange revaluation on monetary items per CF statement. Historically negligible — ₹0 FY22-23, ₹0.02 Cr FY24, ₹1.27 Cr FY25. MDL has no material foreign currency borrowings or payables beyond the Russian deferred payment liability which is separately modeled in S10. Immaterial and unpredictable — zero throughout FY26–30.</t>
  </si>
  <si>
    <t>Amortization of Deferred Vendor Deposits</t>
  </si>
  <si>
    <t>Flat at FY25 (-₹0.06 Cr)</t>
  </si>
  <si>
    <t>Amortization of deferred vendor deposits = annual unwinding of vendor security deposits received at below-market rates, recognized as finance income per Ind AS 109. Amortization rate is fixed by existing deposit contract terms — not a variable driven by business activity. FY22–FY25 range ₹0.04–0.07 Cr with no structural trend, confirming stable fixed schedule. No new below-market vendor deposit arrangements disclosed in any AR. FY25 amortization of ₹0.06 Cr applied flat throughout FY26–30.</t>
  </si>
  <si>
    <t>Amortization of Deferred Revenue</t>
  </si>
  <si>
    <t>Flat at -₹6.87 Cr</t>
  </si>
  <si>
    <t>Amortization of deferred revenue = annual recognition of customer-funded infrastructure grant per Note 22, FY25 AR. Total grant ₹92,761 lakhs fully capitalized — fixed amortization schedule tied to underlying asset depreciation. FY23–FY25 amortization consistent at ₹687 lakhs (₹6.87 Cr) per year. Directly linked to Other Non-Current Liabilities roll-forward — no independent assumption required.</t>
  </si>
  <si>
    <t>Interest on Deferred Deposit with MbPT</t>
  </si>
  <si>
    <t>Interest on deferred deposit with MbPT = interest income on security deposit placed with Mumbai Port Trust at below-market rate, unwound in FY25 per Note 28, FY25 AR. Closing deposit balance zero — no further interest income. Zero throughout FY26–30.</t>
  </si>
  <si>
    <t>Proceeds from Sale of PP&amp;E</t>
  </si>
  <si>
    <t>Proceeds from sale of PP&amp;E = routine disposal of retired plant and equipment per CF statement. Range-bound ₹0.92–₹1.66 Cr across FY22–25 with no structural trend — driven by age profile of existing asset base, not new investment activity. No disposal program disclosed in any AR. 3Y rolling avg applied throughout FY26–30 as the best central tendency estimate for routine asset retirement activity, consistent with model-wide methodology.</t>
  </si>
  <si>
    <t>Other Finance Costs</t>
  </si>
  <si>
    <t>Other Finance Costs = miscellaneous finance charges per CF statement. ₹0 in 3 of 4 historical years — FY23 ₹0.02 Cr was a one-time item. No recurring finance cost obligations disclosed. Zero throughout FY26–30.</t>
  </si>
  <si>
    <t>A. ORDER BOOK BUILD (₹ Cr)</t>
  </si>
  <si>
    <t>Opening Order Book</t>
  </si>
  <si>
    <t>+ New Orders Received (order inflows)</t>
  </si>
  <si>
    <t>New order inflows derived from disclosed contract pipeline per Q2 FY26 earnings call, management guidance, CNC finalisation disclosures, and public defence procurement records. FY26 limited to ₹5,000 Cr — P75I contract signing delayed to July 2026 (FY27) per German Defence Minister Pistorius's April 2026 statement following CCS approval process; near-term FY26 inflows limited to Coast Guard vessels (₹2,991 Cr already awarded Oct–Jan 2024) and commercial MPVs (6 × 7,500 DWT for Navi Merchants, ~₹710 Cr). FY27 step-change of ₹75,000 Cr driven by P75I — contract value confirmed at ₹66,000–70,000 Cr by CNC (Feb 2026), all six submarines to be constructed exclusively at MDL per MoD Strategic Partnership model; consistent with management's own target of order book exceeding ₹1 lakh crore by FY27. An option for three additional submarines is embedded in the P75I contract per public disclosures — not modeled in base case; represents material upside. FY28 ₹30,000 Cr: LPD (₹35,000–40,000 Cr total programme) + MCMV (₹40,000 Cr total programme); MDL share estimated at ~50% based on India's standard practice of splitting large naval programmes between MDL and GRSE/CSL — RFP expected within 3–4 months per Q2 FY26 call. FY29 ₹25,000 Cr: P17B frigates (₹50,000–60,000 Cr); MDL historical share on P17A was 4 of 7 ships (57%); RFP delayed as of Jan 2026. FY30 ₹15,000 Cr: next-generation destroyers (₹70,000–80,000 Cr) at 50% probability weight. FY28–FY30 inflows apply 50% probability weight to reflect structural defence procurement delays — historical evidence: FY24 book-to-bill 43.72% vs. pipeline at the time; P17B RFP not yet issued despite Dec 2025 expected date.</t>
  </si>
  <si>
    <t>− Revenue Recognized (executed during FY)</t>
  </si>
  <si>
    <t>± Price Escalation / Contract Amendments</t>
  </si>
  <si>
    <t>± Cancellations / Descoping</t>
  </si>
  <si>
    <t>Closing Order Book</t>
  </si>
  <si>
    <t>Book-to-Bill Ratio (New Orders / Revenue)</t>
  </si>
  <si>
    <t>OB / Revenue multiple (forward visibility)</t>
  </si>
  <si>
    <t>WACC  —  WEIGHTED AVERAGE COST OF CAPITAL  |  MDL  |  Jan 31, 2026</t>
  </si>
  <si>
    <t>INPUT / LINE ITEM</t>
  </si>
  <si>
    <t>OBSERVED BETA</t>
  </si>
  <si>
    <t>DAMODARAN BETA</t>
  </si>
  <si>
    <t>FORMULA USED</t>
  </si>
  <si>
    <t>SOURCE &amp; DATE</t>
  </si>
  <si>
    <t>A.  MARKET DATA  —  RISK-FREE RATE</t>
  </si>
  <si>
    <t>Risk-Free Rate — 10Y G-Sec Yield (Jan 31, 2026)</t>
  </si>
  <si>
    <t>Direct market observation — 10Y Indian G-Sec closing yield on valuation date</t>
  </si>
  <si>
    <t>https://tradingeconomics.com/india/government-bond-yield  |  Jan 31, 2026</t>
  </si>
  <si>
    <t>Valuation Date</t>
  </si>
  <si>
    <t>Jan 31, 2026</t>
  </si>
  <si>
    <t>All inputs anchored to this date</t>
  </si>
  <si>
    <t>Model assumption</t>
  </si>
  <si>
    <t>B.  EQUITY RISK PREMIUM  —  DAMODARAN  (January 2026 Dataset)</t>
  </si>
  <si>
    <t>India Total ERP — Rating-Based  (PRIMARY)</t>
  </si>
  <si>
    <t>ERP_India = Base ERP (US) + CRP  =  4.23% + 2.85%</t>
  </si>
  <si>
    <t>https://pages.stern.nyu.edu/~adamodar/New_Home_Page/datafile/ctryprem.html  |  Jan 5, 2026</t>
  </si>
  <si>
    <t xml:space="preserve">    Country Risk Premium — CRP (India, Moody's Baa3)</t>
  </si>
  <si>
    <t>CRP = Adj. Default Spread (1.87%) × (σ_Equity / σ_Debt)</t>
  </si>
  <si>
    <t>Damodaran ctryprem.html — India row (Baa3)  |  Jan 5, 2026</t>
  </si>
  <si>
    <t xml:space="preserve">    Base ERP — US Mature Market (Implied)</t>
  </si>
  <si>
    <t>Implied ERP from S&amp;P 500 index DCF (Damodaran)</t>
  </si>
  <si>
    <t>Damodaran ctryprem.html — US implied ERP  |  Jan 5, 2026</t>
  </si>
  <si>
    <t xml:space="preserve">    Alt: CDS-Based ERP  (reference only — not used)</t>
  </si>
  <si>
    <t>ERP_CDS = Base ERP + Sovereign CDS (0.66%) × 1.5</t>
  </si>
  <si>
    <t>Damodaran ctryprem.html — India sovereign CDS  |  Jan 5, 2026</t>
  </si>
  <si>
    <t>C.  BETA ESTIMATION</t>
  </si>
  <si>
    <t>METHOD 1  —  Observed Market Beta  (OLS Regression vs Nifty 50)</t>
  </si>
  <si>
    <t xml:space="preserve">    1Y Weekly Beta  (Jan 2025 – Jan 2026)  |  n=52  |  R²=0.478</t>
  </si>
  <si>
    <t>β = Cov(R_MDL, R_Nifty50) / Var(R_Nifty50) — weekly returns</t>
  </si>
  <si>
    <t>NSE Historical Data (nseindia.com) + Python scipy.stats OLS  |  Jan 31, 2026</t>
  </si>
  <si>
    <t xml:space="preserve">    2Y Weekly Beta  (Jan 2024 – Jan 2026)  |  n=104  |  R²=0.129</t>
  </si>
  <si>
    <t xml:space="preserve">    ► Selected Observed Beta  (2Y Weekly — Base Case)</t>
  </si>
  <si>
    <t>2Y selected: longer window reduces FY25 re-rating distortion. R² lower but beta more stable</t>
  </si>
  <si>
    <t>See Methodology section I below</t>
  </si>
  <si>
    <t>METHOD 2  —  Damodaran Bottom-Up Beta  (Sector Average Re-levered)</t>
  </si>
  <si>
    <t xml:space="preserve">    Sector: Aerospace / Defence  (79 US firms — global comparable)</t>
  </si>
  <si>
    <t>Aerospace/Defense</t>
  </si>
  <si>
    <t>Global sector used — Damodaran methodology for emerging market firms</t>
  </si>
  <si>
    <t>Damodaran Betas.html  |  Jan 5, 2026</t>
  </si>
  <si>
    <t xml:space="preserve">    Unlevered Beta corrected for cash  (βU)</t>
  </si>
  <si>
    <t>βU_corrected = βU / (1 − Cash/Firm Value)  |  Sector D/E=15.56%  Tax=11.58%</t>
  </si>
  <si>
    <t>https://pages.stern.nyu.edu/~adamodar/New_Home_Page/datafile/Betas.html  |  Jan 5, 2026</t>
  </si>
  <si>
    <t xml:space="preserve">    MDL Debt/Equity Ratio (FY26E)</t>
  </si>
  <si>
    <t>D/E = (LT Lease + Current Lease) / Total Equity — FY26E</t>
  </si>
  <si>
    <t>Formula — Balance Sheet FY26E (model)</t>
  </si>
  <si>
    <t xml:space="preserve">    Effective Tax Rate  (3Y Avg FY23–FY25)</t>
  </si>
  <si>
    <t>Formula: |Tax Expense / Pretax Income| — 3Y avg FY23-FY25 for stability</t>
  </si>
  <si>
    <t>Formula — Income Statement (model)</t>
  </si>
  <si>
    <t xml:space="preserve">    Re-levered Beta  [ βL = βU × (1 + (1−t) × D/E) ]</t>
  </si>
  <si>
    <t>Hamada (1972): βL = βU × [1 + (1−t) × D/E]  — MDL D/E~0.003 → βL ≈ βU</t>
  </si>
  <si>
    <t>Hamada (1972) — standard re-levering equation</t>
  </si>
  <si>
    <t xml:space="preserve">    ► Selected Damodaran Beta</t>
  </si>
  <si>
    <t>Selected = re-levered beta (near-zero D/E → βL ≈ βU = 0.87)</t>
  </si>
  <si>
    <t>D.  COST OF EQUITY  [ Ke = Rf + β × ERP ]</t>
  </si>
  <si>
    <t>Ke — Observed Beta  = Rf + β_obs × ERP</t>
  </si>
  <si>
    <t>Formula: Ke = Rf + β_observed × ERP = 6.67% + 1.9471 × 7.08%</t>
  </si>
  <si>
    <t>CAPM — Sharpe (1964), Lintner (1965)</t>
  </si>
  <si>
    <t>Ke — Damodaran Beta  = Rf + β_dam × ERP</t>
  </si>
  <si>
    <t>Formula: Ke = Rf + β_damodaran × ERP = 6.67% + 0.87 × 7.08%</t>
  </si>
  <si>
    <t>CAPM — Damodaran bottom-up beta methodology</t>
  </si>
  <si>
    <t>E.  COST OF DEBT  (MDL near debt-free — lease liabilities only)</t>
  </si>
  <si>
    <t>Pre-Tax Cost of Debt — Proxy Incremental Borrowing Rate</t>
  </si>
  <si>
    <t>Proxy IBR = G-Sec 10Y (6.67%) + AAA PSU spread (~83bps)</t>
  </si>
  <si>
    <t>Prevailing AAA PSU corporate spread  |  Jan 2026  |  Debt weight ~0.03% → immaterial</t>
  </si>
  <si>
    <t>Effective Tax Rate</t>
  </si>
  <si>
    <t>Same 3Y average effective tax rate — Section C</t>
  </si>
  <si>
    <t>After-Tax Cost of Debt  [ Kd × (1−t) ]</t>
  </si>
  <si>
    <t>Kd_after = Pre-tax Kd × (1 − effective tax rate)</t>
  </si>
  <si>
    <t>F.  CAPITAL STRUCTURE  (Market Value Weights — FY26E)</t>
  </si>
  <si>
    <t>Market Capitalisation  (₹ Crore)</t>
  </si>
  <si>
    <t>Formula: STOCKHISTORY(NSE:MAZDOCK, Jan31 2026) × Shares Outstanding (Cr)</t>
  </si>
  <si>
    <t>Microsoft 365 STOCKHISTORY  |  IS row 67 FY26E  |  Jan 31, 2026</t>
  </si>
  <si>
    <t>Total Debt — Lease Liabilities  (₹ Crore)</t>
  </si>
  <si>
    <t>Formula: LT Lease (BS row 48) + Current Lease (BS row 61) — FY26E</t>
  </si>
  <si>
    <t>Total Capital = Market Cap + Total Debt  (₹ Crore)</t>
  </si>
  <si>
    <t>Formula: Market Cap + Interest-Bearing Debt</t>
  </si>
  <si>
    <t>Equity Weight  (We)</t>
  </si>
  <si>
    <t>We = Market Cap / Total Capital</t>
  </si>
  <si>
    <t>Debt Weight  (Wd)</t>
  </si>
  <si>
    <t>Wd = Total Debt / Total Capital</t>
  </si>
  <si>
    <t>G.  WACC SUMMARY  [ WACC = We × Ke + Wd × Kd_after ]</t>
  </si>
  <si>
    <t>WACC — Observed Beta Method</t>
  </si>
  <si>
    <t>WACC = We × Ke_observed + Wd × Kd_after</t>
  </si>
  <si>
    <t>WACC — Damodaran Beta Method</t>
  </si>
  <si>
    <t>WACC = We × Ke_damodaran + Wd × Kd_after</t>
  </si>
  <si>
    <t>► SELECTED WACC — Base Case (50% Observed + 50% Damodaran)</t>
  </si>
  <si>
    <t>Selected WACC = 0.5 × WACC_Observed + 0.5 × WACC_Damodaran</t>
  </si>
  <si>
    <t>H.  SOURCES &amp; REFERENCES</t>
  </si>
  <si>
    <t>#</t>
  </si>
  <si>
    <t>Input</t>
  </si>
  <si>
    <t>Value</t>
  </si>
  <si>
    <t>URL / Source</t>
  </si>
  <si>
    <t>Notes</t>
  </si>
  <si>
    <t>Risk-Free Rate (10Y G-Sec)</t>
  </si>
  <si>
    <t>6.67%</t>
  </si>
  <si>
    <t>https://tradingeconomics.com/india/government-bond-yield</t>
  </si>
  <si>
    <t>India 10Y G-Sec yield on valuation date</t>
  </si>
  <si>
    <t>India Total ERP (Rating)</t>
  </si>
  <si>
    <t>7.08%</t>
  </si>
  <si>
    <t>https://pages.stern.nyu.edu/~adamodar/New_Home_Page/datafile/ctryprem.html</t>
  </si>
  <si>
    <t>Jan 5, 2026</t>
  </si>
  <si>
    <t>Damodaran CRP page — India (Baa3). Rating method. Alt CDS method = 5.23%</t>
  </si>
  <si>
    <t>Country Risk Premium</t>
  </si>
  <si>
    <t>2.85%</t>
  </si>
  <si>
    <t>Adj. Default Spread 1.87% × (σ_Eq/σ_Debt). Baa3 Moody's rating</t>
  </si>
  <si>
    <t>Base ERP (US)</t>
  </si>
  <si>
    <t>4.23%</t>
  </si>
  <si>
    <t>Implied ERP from S&amp;P 500 DCF — Damodaran standard methodology</t>
  </si>
  <si>
    <t>MDL 1Y Weekly Beta</t>
  </si>
  <si>
    <t>2.3637</t>
  </si>
  <si>
    <t>https://www.nseindia.com + Python OLS</t>
  </si>
  <si>
    <t>OLS: R_MDL vs R_Nifty50, weekly, Jan 2025–Jan 2026. n=52. R²=0.478. SE=0.500</t>
  </si>
  <si>
    <t>MDL 2Y Weekly Beta (Selected)</t>
  </si>
  <si>
    <t>1.9471</t>
  </si>
  <si>
    <t>OLS: R_MDL vs R_Nifty50, weekly, Jan 2024–Jan 2026. n=104. R²=0.129. SE=0.500</t>
  </si>
  <si>
    <t>Nifty 50 as benchmark</t>
  </si>
  <si>
    <t>Index</t>
  </si>
  <si>
    <t>https://www.nseindia.com (Nifty 50 Historical Data)</t>
  </si>
  <si>
    <t>Consistent with Damodaran India ERP calibration. MDL is NSE-listed</t>
  </si>
  <si>
    <t>Damodaran Unlevered Beta</t>
  </si>
  <si>
    <t>0.87</t>
  </si>
  <si>
    <t>https://pages.stern.nyu.edu/~adamodar/New_Home_Page/datafile/Betas.html</t>
  </si>
  <si>
    <t>Aerospace/Defense — 79 firms. Cash-corrected. D/E=15.56%. Tax=11.58%. Jan 2026</t>
  </si>
  <si>
    <t>25.07%</t>
  </si>
  <si>
    <t>Formula — INCOME STATEMENT (model)</t>
  </si>
  <si>
    <t>Model</t>
  </si>
  <si>
    <t>3Y avg: FY23 24.95%, FY24 25.02%, FY25 25.23%</t>
  </si>
  <si>
    <t>D/E Ratio</t>
  </si>
  <si>
    <t>~0.003</t>
  </si>
  <si>
    <t>Formula — BALANCE SHEET FY26E (model)</t>
  </si>
  <si>
    <t>Lease liabilities ₹26.33 Cr / Equity ₹8,575 Cr. MDL has zero conventional debt</t>
  </si>
  <si>
    <t>Market Cap</t>
  </si>
  <si>
    <t>STOCKHISTORY</t>
  </si>
  <si>
    <t>Microsoft 365 STOCKHISTORY — NSE:MAZDOCK</t>
  </si>
  <si>
    <t>Price Jan 31 2026 × 40.338 Cr shares. Formula anchored to valuation date</t>
  </si>
  <si>
    <t>Pre-Tax Cost of Debt</t>
  </si>
  <si>
    <t>7.50%</t>
  </si>
  <si>
    <t>G-Sec + AAA PSU spread estimate</t>
  </si>
  <si>
    <t>Jan 2026</t>
  </si>
  <si>
    <t>Proxy IBR. Wd~0.03% → debt contributes &lt;1bp to WACC — immaterial</t>
  </si>
  <si>
    <t>I.  METHODOLOGY &amp; RATIONALE</t>
  </si>
  <si>
    <t>Beta — Window Selection (2Y over 1Y)</t>
  </si>
  <si>
    <t>1Y weekly β=2.36 (R²=0.478). 2Y weekly β=1.95 (R²=0.129). 2Y selected: the 1Y window captures MDL's FY25 re-rating peak (₹1,800→₹3,775). The 2Y window includes the pre-rally phase, providing a more representative steady-state beta. Standard practice (Bloomberg) uses 2Y weekly.</t>
  </si>
  <si>
    <t>Nifty 50 vs Sensex</t>
  </si>
  <si>
    <t>Damodaran's India ERP is calibrated to NSE (Nifty 50) market returns. Using Sensex beta would create a methodological inconsistency in CAPM (ERP and beta must use the same market index). MDL is also NSE-listed, making Nifty 50 the natural benchmark.</t>
  </si>
  <si>
    <t>Observed Beta vs Damodaran Beta — Dual Approach</t>
  </si>
  <si>
    <t>MDL's observed beta (1.95) is elevated due to defence sector re-rating (2023-2025). Fundamental business risk is low — 100% sovereign revenue, captive Navy contracts, zero demand risk. Damodaran beta (0.87) captures this. Both are retained and averaged equally.</t>
  </si>
  <si>
    <t>ERP: Rating-Based (7.08%) vs CDS-Based (5.23%)</t>
  </si>
  <si>
    <t>Rating-based ERP is Damodaran's primary method — more stable and conservative. CDS-based (5.23%) is the lower bound. India's tight CDS spread (0.66%) reflects macro stability, not long-run fundamental risk reduction. Rating-based preferred for long-duration DCF.</t>
  </si>
  <si>
    <t>Cost of Debt &amp; Capital Structure</t>
  </si>
  <si>
    <t>MDL has zero conventional debt. Lease liabilities of ₹26.33 Cr represent office/vehicle leases — not financial leverage. Kd of 7.50% is a proxy. With Wd=0.03%, debt contributes &lt;1bp to WACC. WACC is effectively 100% cost of equity.</t>
  </si>
  <si>
    <t>DCF VALUATION  —  MAZAGON DOCK SHIPBUILDERS LTD  |  Jan 31, 2026</t>
  </si>
  <si>
    <t>Formula</t>
  </si>
  <si>
    <t>FY26</t>
  </si>
  <si>
    <t>FY27</t>
  </si>
  <si>
    <t>FY28</t>
  </si>
  <si>
    <t>FY29</t>
  </si>
  <si>
    <t>FY30</t>
  </si>
  <si>
    <t>Terminal</t>
  </si>
  <si>
    <t>Total / Output</t>
  </si>
  <si>
    <t>Perpetuity</t>
  </si>
  <si>
    <t>A.  DISCOUNT RATE</t>
  </si>
  <si>
    <t>Terminal Growth Rate  (g)</t>
  </si>
  <si>
    <t>Hardcode</t>
  </si>
  <si>
    <t>g = 5.5% anchored to India long-run real GDP (6–6.5%) less 100bps haircut for defence order-cycle variability and post-P75I revenue normalisation. Consistent with 5–6% terminal g in peer Indian defence PSU DCF models (Cochin Shipyard, GRSE, BEL). Conservative floor — below India nominal GDP and WACC Damodaran (12.84%), ensuring stable Gordon Growth denominator.</t>
  </si>
  <si>
    <t>B.  FREE CASH FLOW TO FIRM  (₹ Crore)  —  from FCF sheet</t>
  </si>
  <si>
    <t>FCFF</t>
  </si>
  <si>
    <t>FCF!row18</t>
  </si>
  <si>
    <t>C.  DISCOUNTING  —  OBSERVED BETA WACC  (Mid-Year Convention)</t>
  </si>
  <si>
    <t>Discount Period  (t = 0.5, 1.5, 2.5, 3.5, 4.5)</t>
  </si>
  <si>
    <t>t + 0.5</t>
  </si>
  <si>
    <t>Discount Factor  =  1 / (1 + WACC_obs)^t</t>
  </si>
  <si>
    <t>1/(1+WACC)^t</t>
  </si>
  <si>
    <t>PV of FCFF  (Observed WACC)</t>
  </si>
  <si>
    <t>FCFF × DF</t>
  </si>
  <si>
    <t>Sum of PV of FCFs — Observed WACC  (FY26–FY30)</t>
  </si>
  <si>
    <t>SUM(PV FY26:FY30)</t>
  </si>
  <si>
    <t>D.  TERMINAL VALUE  —  GORDON GROWTH MODEL  (Observed WACC)</t>
  </si>
  <si>
    <t>Terminal Year FCFF  =  FY30 FCFF × (1 + g)</t>
  </si>
  <si>
    <t>H11×(1+g)</t>
  </si>
  <si>
    <t>Terminal Value  =  FCFF(t+1) / (WACC_obs − g)</t>
  </si>
  <si>
    <t>I20/(WACC-g)</t>
  </si>
  <si>
    <t>Discount Factor for Terminal Value  =  1 / (1 + WACC_obs)^5</t>
  </si>
  <si>
    <t>1/(1+WACC)^5</t>
  </si>
  <si>
    <t>PV of Terminal Value — Observed WACC</t>
  </si>
  <si>
    <t>TV × DF</t>
  </si>
  <si>
    <t>TV as % of Total EV (Observed)</t>
  </si>
  <si>
    <t>E.  ENTERPRISE VALUE  —  OBSERVED BETA WACC  (₹ Crore)</t>
  </si>
  <si>
    <t>Enterprise Value — Observed WACC</t>
  </si>
  <si>
    <t>PV FCFs + PV TV</t>
  </si>
  <si>
    <t>F.  DISCOUNTING  —  DAMODARAN BETA WACC  (Mid-Year Convention)</t>
  </si>
  <si>
    <t>Discount Factor  =  1 / (1 + WACC_dam)^t</t>
  </si>
  <si>
    <t>PV of FCFF  (Damodaran WACC)</t>
  </si>
  <si>
    <t>Sum of PV of FCFs — Damodaran WACC  (FY26–FY30)</t>
  </si>
  <si>
    <t>G.  TERMINAL VALUE  —  GORDON GROWTH MODEL  (Damodaran WACC)</t>
  </si>
  <si>
    <t>Terminal Value  =  FCFF(t+1) / (WACC_dam − g)</t>
  </si>
  <si>
    <t>I36/(WACC-g)</t>
  </si>
  <si>
    <t>Discount Factor for Terminal Value  =  1 / (1 + WACC_dam)^5</t>
  </si>
  <si>
    <t>PV of Terminal Value — Damodaran WACC</t>
  </si>
  <si>
    <t>TV as % of Total EV (Damodaran)</t>
  </si>
  <si>
    <t>H.  ENTERPRISE VALUE  —  DAMODARAN BETA WACC  (₹ Crore)</t>
  </si>
  <si>
    <t>Enterprise Value — Damodaran WACC</t>
  </si>
  <si>
    <t>I.  EQUITY VALUE BRIDGE  (₹ Crore)</t>
  </si>
  <si>
    <t>+ Cash &amp; Cash Equivalents  (FY26E)</t>
  </si>
  <si>
    <t>BS!H29</t>
  </si>
  <si>
    <t>+ Bank Balances &amp; FDs  (FY26E)</t>
  </si>
  <si>
    <t>BS!H30</t>
  </si>
  <si>
    <t>+ Short-Term Investments  (FY26E)</t>
  </si>
  <si>
    <t>FS!I170</t>
  </si>
  <si>
    <t>− Total Debt — Lease Liabilities  (FY26E)</t>
  </si>
  <si>
    <t>BS!(H48+H61)</t>
  </si>
  <si>
    <t>− Minority Interest  (FY26E)</t>
  </si>
  <si>
    <t>BS!H73</t>
  </si>
  <si>
    <t>Net Cash Adjustment  (Cash + Investments − Debt − MI)</t>
  </si>
  <si>
    <t>Equity Value — Observed WACC  =  EV_obs + Net Cash</t>
  </si>
  <si>
    <t>EV_obs + K51</t>
  </si>
  <si>
    <t>Equity Value — Damodaran WACC  =  EV_dam + Net Cash</t>
  </si>
  <si>
    <t>EV_dam + K51</t>
  </si>
  <si>
    <t>J.  INTRINSIC VALUE PER SHARE  (₹)</t>
  </si>
  <si>
    <t>Shares Outstanding  (Crore)</t>
  </si>
  <si>
    <t>IS!H67</t>
  </si>
  <si>
    <t>Intrinsic Value per Share — Observed WACC  (₹)</t>
  </si>
  <si>
    <t>EqV_obs / Shares</t>
  </si>
  <si>
    <t>Intrinsic Value per Share — Damodaran WACC  (₹)</t>
  </si>
  <si>
    <t>EqV_dam / Shares</t>
  </si>
  <si>
    <t>Current Market Price — CMP  (₹)  as of Jan 31, 2026</t>
  </si>
  <si>
    <t>Upside / (Downside) — Observed WACC  (%)</t>
  </si>
  <si>
    <t>Upside / (Downside) — Damodaran WACC  (%)</t>
  </si>
  <si>
    <t>K.  METHODOLOGY &amp; ASSUMPTIONS</t>
  </si>
  <si>
    <t>Discount Convention — Mid-Year</t>
  </si>
  <si>
    <t>Cash flows discounted using mid-year convention (t = 0.5, 1.5, 2.5, 3.5, 4.5). MDL receives Navy milestone payments quarterly throughout the year — not as a lump sum on March 31. Mid-year convention reflects this timing more accurately than end-of-year, and is the industry standard for DCF valuation.</t>
  </si>
  <si>
    <t>Terminal Growth Rate — 5.5%</t>
  </si>
  <si>
    <t>g = 5.5% anchored to India long-run real GDP growth (6–6.5%, IMF/RBI consensus) less a 100bps haircut for: (1) defence order-cycle variability — MDL revenue is milestone-driven and lumpy; (2) post-P75I normalisation — the ₹99,000 Cr P75I programme is a one-cycle mega-contract, not recurring at the same scale; (3) conservative positioning appropriate for a buy-side model. Consistent with 5–6% terminal g used in analyst DCF models for Cochin Shipyard, GRSE, and BEL. At g = 5.5%, WACC − g = 13.78% (Observed) and 7.34% (Damodaran) — both provide stable Gordon Growth denominators. g was not derived from ROE × Plowback (which gave 19.47%) or ROIC × Reinvestment Rate (negative invested capital) as MDL's ₹81,536 Cr cash pile distorts both metrics beyond utility for terminal value estimation.</t>
  </si>
  <si>
    <t>Dual WACC — Observed vs Damodaran</t>
  </si>
  <si>
    <t>Two parallel DCF valuations are computed: (1) Observed Beta WACC (20.45%) reflects the market's current pricing of MDL risk, elevated by the 2023–2025 defence sector re-rating. (2) Damodaran WACC (12.84%) reflects fundamental business risk — Aerospace/Defence sector unlevered beta of 0.87 (cash-corrected, 79 US firms, Jan 2026) re-levered to MDL's near-zero debt structure. The two methods bracket the valuation range and feed Final Valuation for triangulation with CCA.</t>
  </si>
  <si>
    <t>Equity Bridge</t>
  </si>
  <si>
    <t>Enterprise Value is bridged to Equity Value by adding net cash (Cash + Bank Balances + Short-Term FDs) and deducting financial debt (lease liabilities, ₹26 Cr) and minority interest. MDL holds ₹6,707 Cr in operating cash and ₹5,431 Cr in fixed deposits as of FY26E — a significant net cash position that is added back to EV to derive equity value. All bridge items link directly to Balance Sheet FY26E.</t>
  </si>
  <si>
    <t>DDM  —  DIVIDEND DISCOUNT MODEL  |  MDL  |  Jan 31, 2026</t>
  </si>
  <si>
    <t>SOURCE / NOTES</t>
  </si>
  <si>
    <t>A.  DDM INPUTS</t>
  </si>
  <si>
    <t>Dividend Per Share — DPS  (FY26E, Rs)</t>
  </si>
  <si>
    <t>DPS = (Interim Dividend FY26 + Final Dividend FY26) / Shares Outstanding</t>
  </si>
  <si>
    <t>Formula — FS S08 rows 201+203 / IS row 67 FY26E</t>
  </si>
  <si>
    <t>Expected DPS next year  =  DPS × (1 + g)</t>
  </si>
  <si>
    <t>D1 = DPS0 × (1 + g)  —  Gordon Growth DDM uses next-period dividend</t>
  </si>
  <si>
    <t>g = 5.5% linked from DCF sheet K8</t>
  </si>
  <si>
    <t>Cost of Equity  (Ke)</t>
  </si>
  <si>
    <t>Ke = Rf + Beta × ERP  (CAPM)  —  from WACC sheet</t>
  </si>
  <si>
    <t>Formula — WACC sheet rows 29 (Observed) and 30 (Damodaran)</t>
  </si>
  <si>
    <t>g = 5.5%  —  India long-run real GDP growth less 100bps haircut for defence order-cycle variability</t>
  </si>
  <si>
    <t>Linked from DCF sheet K8  —  consistent with DCF terminal growth assumption</t>
  </si>
  <si>
    <t>Ke minus g  (discount spread)</t>
  </si>
  <si>
    <t>Spread = Ke - g  —  must be positive for Gordon Growth DDM to be valid</t>
  </si>
  <si>
    <t>Observed: 20.45% - 5.5% = 14.95% | Damodaran: 12.84% - 5.5% = 7.34%</t>
  </si>
  <si>
    <t>Dividend Payout Ratio  (%)</t>
  </si>
  <si>
    <t>Payout = DPS / EPS  (FY26E)  —  MDL disclosed policy: 30% minimum payout</t>
  </si>
  <si>
    <t>Formula — IS FY26E. MDL has maintained 30% payout consistently since listing</t>
  </si>
  <si>
    <t>B.  GORDON GROWTH DDM  [ P = D1 / (Ke - g) ]</t>
  </si>
  <si>
    <t>D1 — Next Period Dividend per Share  (Rs)</t>
  </si>
  <si>
    <t>D1 = DPS0 × (1 + g)  —  dividend expected in next period</t>
  </si>
  <si>
    <t>Intrinsic Value per Share — Gordon Growth DDM  (Rs)</t>
  </si>
  <si>
    <t>P = D1 / (Ke - g)  —  Gordon Growth perpetuity model</t>
  </si>
  <si>
    <t>Gordon (1959) — standard constant-growth DDM</t>
  </si>
  <si>
    <t>Current Market Price — CMP  (Rs)  as of Jan 31, 2026</t>
  </si>
  <si>
    <t>Linked from DCF sheet K62</t>
  </si>
  <si>
    <t>Upside / (Downside) vs CMP — Observed Ke  (%)</t>
  </si>
  <si>
    <t>Upside = (Intrinsic Value / CMP) - 1</t>
  </si>
  <si>
    <t>C.  H-MODEL DDM  (Near-Term High Growth Fading to Terminal Growth)</t>
  </si>
  <si>
    <t>H-Model accounts for MDL transitioning from high P75I growth phase to steady-state</t>
  </si>
  <si>
    <t>Near-Term Growth Rate  (ga)  —  FY26–FY30 avg dividend growth</t>
  </si>
  <si>
    <t>ga = (DPS FY30 / DPS FY26)^(1/4) - 1  — implied near-term dividend CAGR FY26 to FY30</t>
  </si>
  <si>
    <t>Formula — FS S08 rows 201+203 for FY30 (col M) and FY26 (col I)</t>
  </si>
  <si>
    <t>Terminal Growth Rate  (gn)  =  g = 5.5%</t>
  </si>
  <si>
    <t>gn = long-run terminal growth = g (same as Gordon Growth and DCF)</t>
  </si>
  <si>
    <t>Half-Life  (H)  —  years of above-normal growth / 2</t>
  </si>
  <si>
    <t>H = 2.5 years  (5-year explicit forecast / 2)  —  standard H-Model assumption</t>
  </si>
  <si>
    <t>Fuller &amp; Hsia (1984) H-Model. H = half the high-growth period = 5/2 = 2.5</t>
  </si>
  <si>
    <t>Intrinsic Value per Share — H-Model DDM  (Rs)</t>
  </si>
  <si>
    <t>H-Model: P = D0(1+gn)/(Ke-gn) + D0*H*(ga-gn)/(Ke-gn)</t>
  </si>
  <si>
    <t>Fuller &amp; Hsia (1984). Captures near-term P75I growth phase fading to steady-state g</t>
  </si>
  <si>
    <t>Upside / (Downside) vs CMP — H-Model  (%)</t>
  </si>
  <si>
    <t>D.  DDM SUMMARY</t>
  </si>
  <si>
    <t>Method</t>
  </si>
  <si>
    <t>Observed Ke</t>
  </si>
  <si>
    <t>Damodaran Ke</t>
  </si>
  <si>
    <t>Gordon Growth DDM</t>
  </si>
  <si>
    <t>Simple perpetuity — stable base case</t>
  </si>
  <si>
    <t>H-Model DDM</t>
  </si>
  <si>
    <t>Captures near-term high growth fading to terminal rate</t>
  </si>
  <si>
    <t>Average  (Gordon + H-Model)</t>
  </si>
  <si>
    <t>Equal-weighted average of both DDM methods</t>
  </si>
  <si>
    <t>CMP  (Rs)  as of Jan 31, 2026</t>
  </si>
  <si>
    <t>DDM Implied Value — Base Case  (Average of all DDM methods)</t>
  </si>
  <si>
    <t>This feeds Final Valuation sheet as the DDM method input</t>
  </si>
  <si>
    <t>KEY INSIGHT — DDM LIMITATION FOR MDL:</t>
  </si>
  <si>
    <t>DDM significantly undervalues MDL regardless of methodology. At CMP of Rs2,572, MDL yields only 0.58% (DPS/CMP) — the market prices MDL for earnings growth and order book execution (P75I, Nhava Yard), not dividend income. DDM is appropriate only for stable, dividend-oriented stocks. For MDL, DCF and CCA are the primary valuation methodologies. DDM is included for completeness and assigned a low weight in Final Valuation.</t>
  </si>
  <si>
    <t>E.  METHODOLOGY &amp; RATIONALE</t>
  </si>
  <si>
    <t>Gordon Growth DDM  —  P = D1 / (Ke - g)</t>
  </si>
  <si>
    <t>The Gordon Growth DDM values MDL as a perpetuity of growing dividends. DPS FY26E is the base, grown at 5.5% (same terminal g as DCF) in perpetuity. MDL has a disclosed 30% minimum dividend payout policy, consistent payout history since listing (Oct 2020), and sovereign-backed earnings visibility — all conditions that make DDM reliable. Run under both Ke estimates (Observed 20.45% and Damodaran 12.84%) for consistency with the dual-WACC DCF framework.</t>
  </si>
  <si>
    <t>H-Model DDM  —  Fuller &amp; Hsia (1984)</t>
  </si>
  <si>
    <t>The H-Model extends the Gordon Growth DDM to accommodate a high near-term growth phase transitioning to a stable terminal rate. MDL is entering its P75I execution phase (FY27-FY32) which will drive above-normal dividend growth before normalising post-contract. The H-Model captures this: near-term dividend CAGR (ga) derived from model FY26-FY30 DPS forecasts, fading linearly to terminal g = 5.5% over the 5-year explicit period (H = 2.5). This is more realistic than the flat-growth assumption of the Gordon Growth model for MDL.</t>
  </si>
  <si>
    <t>Why DDM is Valid for MDL</t>
  </si>
  <si>
    <t>Three conditions make DDM reliable: (1) Dividend policy is stable and disclosed — 30% minimum payout maintained since listing. (2) Earnings are sovereign-contract backed with high visibility — Navy/MoD payments are not commercial market-dependent. (3) MDL is cash-generative with near-zero reinvestment need relative to earnings — the payout ratio understates the distributable cash flow. DDM complements the DCF by providing a purely equity-based, dividend-anchored valuation that is independent of the FCFF and working capital dynamics that dominate the DCF.</t>
  </si>
  <si>
    <t>COMPARABLE COMPANY ANALYSIS (CCA) — MDL | Jan 30, 2026 | FY25 Annual Financials</t>
  </si>
  <si>
    <t>Company</t>
  </si>
  <si>
    <t>Ticker</t>
  </si>
  <si>
    <t>Price (Rs)</t>
  </si>
  <si>
    <t>Shares (Cr)</t>
  </si>
  <si>
    <t>Mkt Cap (Rs Cr)</t>
  </si>
  <si>
    <t>Net Cash (Rs Cr)</t>
  </si>
  <si>
    <t>EV (Rs Cr)</t>
  </si>
  <si>
    <t>Revenue (Rs Cr)</t>
  </si>
  <si>
    <t>EBITDA (Rs Cr)</t>
  </si>
  <si>
    <t>PAT (Rs Cr)</t>
  </si>
  <si>
    <t>EPS (Rs)</t>
  </si>
  <si>
    <t>Equity/BV (Rs Cr)</t>
  </si>
  <si>
    <t>EV/Revenue</t>
  </si>
  <si>
    <t>EV/EBITDA</t>
  </si>
  <si>
    <t>P/E</t>
  </si>
  <si>
    <t>P/B</t>
  </si>
  <si>
    <t>A.  SUBJECT COMPANY</t>
  </si>
  <si>
    <t>Mazagon Dock Shipbuilders Ltd  (SUBJECT)</t>
  </si>
  <si>
    <t>MAZDOCK</t>
  </si>
  <si>
    <t>B.  PEER GROUP 1 — SHIPBUILDING  (50% weight in final valuation)</t>
  </si>
  <si>
    <t>Cochin Shipyard Ltd</t>
  </si>
  <si>
    <t>COCHINSHIP</t>
  </si>
  <si>
    <t>Garden Reach Shipbuilders &amp; Engineers Ltd</t>
  </si>
  <si>
    <t>GRSE</t>
  </si>
  <si>
    <t>Group 1 Mean</t>
  </si>
  <si>
    <t>Group 1 Median</t>
  </si>
  <si>
    <t>C.  PEER GROUP 2 — DEFENCE PSU  (50% weight in final valuation)</t>
  </si>
  <si>
    <t>Bharat Electronics Ltd</t>
  </si>
  <si>
    <t>BEL</t>
  </si>
  <si>
    <t>Hindustan Aeronautics Ltd</t>
  </si>
  <si>
    <t>HAL</t>
  </si>
  <si>
    <t>Bharat Dynamics Ltd  (BDL)  — P/E excluded: transition year outlier (FY25 PAT Rs550 Cr vs re-rated price)</t>
  </si>
  <si>
    <t>BDL</t>
  </si>
  <si>
    <t>Group 2 Mean  (P/E excl. BDL — transition year outlier)</t>
  </si>
  <si>
    <t>Group 2 Median  (P/E excl. BDL — transition year outlier)</t>
  </si>
  <si>
    <t>D.  COMBINED STATISTICS  (50% Group 1 + 50% Group 2)</t>
  </si>
  <si>
    <t>Combined Mean</t>
  </si>
  <si>
    <t>Combined Median</t>
  </si>
  <si>
    <t>E.  IMPLIED VALUATION FOR MDL  (Rs per Share)</t>
  </si>
  <si>
    <t>Multiple Used</t>
  </si>
  <si>
    <t>Implied EV (Rs Cr)</t>
  </si>
  <si>
    <t>Implied Equity (Rs Cr)</t>
  </si>
  <si>
    <t>Implied Price (Rs)</t>
  </si>
  <si>
    <t>vs CMP (%)</t>
  </si>
  <si>
    <t>EV/EBITDA — Combined Mean</t>
  </si>
  <si>
    <t>EV/EBITDA — Combined Median</t>
  </si>
  <si>
    <t>P/E — Combined Mean</t>
  </si>
  <si>
    <t>N/A</t>
  </si>
  <si>
    <t>P/E — Combined Median</t>
  </si>
  <si>
    <t>EV/Revenue — Combined Mean</t>
  </si>
  <si>
    <t>EV/Revenue — Combined Median</t>
  </si>
  <si>
    <t>P/B — Combined Mean</t>
  </si>
  <si>
    <t>P/B — Combined Median</t>
  </si>
  <si>
    <t>CCA BASE CASE  (Avg of EV/EBITDA + P/E Mean and Median)</t>
  </si>
  <si>
    <t>CMP (Rs) as of Jan 30, 2026</t>
  </si>
  <si>
    <t>F.  DATA SOURCES</t>
  </si>
  <si>
    <t>MDL: Price Rs2,571.55 (NSE Jan 30 2026). Revenue from Operations excl. Rs1,006 Cr finance income. Financials from model IS/BS FY25.</t>
  </si>
  <si>
    <t>COCHINSHIP: Price Rs1,659.90 (NSE Jan 30). FY25 annual financials from Tickertape. Shares 26.31 Cr. Net Cash = Cash Rs3,113 Cr less LT Debt Rs483 Cr.</t>
  </si>
  <si>
    <t>GRSE: Price Rs2,764.20 (NSE Jan 30). FY25 annual financials from Tickertape. Shares 11.46 Cr. Net Cash Rs3,732 Cr (debt-free).</t>
  </si>
  <si>
    <t>BEL: Price Rs449.00 (NSE Jan 30). FY25 annual financials from Tickertape. Shares 730.98 Cr. Net Cash Rs9,486 Cr.</t>
  </si>
  <si>
    <t>HAL: Price Rs4,619.40 (NSE Jan 30). FY25 annual financials from Tickertape. Shares 66.88 Cr. Net Cash Rs38,181 Cr (large MoD advance receipts).</t>
  </si>
  <si>
    <t>BDL: P/E excluded from Group 2 P/E stats — FY25 PAT Rs550 Cr temporarily depressed vs re-rated stock price Rs1,538 (102x P/E). EV/EBITDA, EV/Revenue, P/B retained. BEL+HAL used for Group 2 P/E.</t>
  </si>
  <si>
    <t>Weighting: 50/50 — Group 1 (Shipbuilding: CSL+GRSE) and Group 2 (Defence PSU: BEL+HAL+BDL).</t>
  </si>
  <si>
    <t>Note: Peer revenues from Tickertape Total Revenue (includes other income). MDL uses Revenue from Operations. Conservative bias on MDL EV/Revenue multiple.</t>
  </si>
  <si>
    <t>G.  MARKET CAPITALISATION ANALYSIS  (USD equivalent | Exchange Rate: Rs86.50 / USD  |  Jan 31, 2026)</t>
  </si>
  <si>
    <t>Mkt Cap
(Rs Cr)</t>
  </si>
  <si>
    <t>Mkt Cap
(USD Bn)</t>
  </si>
  <si>
    <t>Revenue
(Rs Cr)</t>
  </si>
  <si>
    <t>EBITDA
(Rs Cr)</t>
  </si>
  <si>
    <t>PAT
(Rs Cr)</t>
  </si>
  <si>
    <t>MC/
Revenue</t>
  </si>
  <si>
    <t>MC/
EBITDA</t>
  </si>
  <si>
    <t>MC/
PAT (P/E)</t>
  </si>
  <si>
    <t>MC/
Book Value</t>
  </si>
  <si>
    <t>Bharat Dynamics Ltd</t>
  </si>
  <si>
    <t>Peer Mean  (excl. MDL)</t>
  </si>
  <si>
    <t>Peer Median  (excl. MDL)</t>
  </si>
  <si>
    <t>MDL Premium / (Discount) vs Peer Mean  (%)</t>
  </si>
  <si>
    <t>MDL Market Cap as of Jan 31, 2026: Rs1,03,731 Cr = approximately USD 12.0 Billion  (at exchange rate Rs86.5/USD). MDL is the largest listed pure-play naval shipbuilder in India by market capitalisation. For context, this places MDL among the top 150 listed companies in India by market cap (ranked ~112 as of valuation date).</t>
  </si>
  <si>
    <t>SENSITIVITY ANALYSIS — Intrinsic Value per Share (Rs)  |  WACC × Terminal Growth Rate (g)</t>
  </si>
  <si>
    <t>Base Case: WACC = 16.64% (Selected)  |  g = 5.5%  |  CMP = Rs2,572</t>
  </si>
  <si>
    <t>Color: Green = BUY (&gt;CMP)  |  Yellow = HOLD (within 15% of CMP)  |  Red = SELL (&lt;CMP by &gt;15%)</t>
  </si>
  <si>
    <t>WACC  \ g →</t>
  </si>
  <si>
    <t>4.0%</t>
  </si>
  <si>
    <t>4.5%</t>
  </si>
  <si>
    <t>5.0%</t>
  </si>
  <si>
    <t>5.5%</t>
  </si>
  <si>
    <t>6.0%</t>
  </si>
  <si>
    <t>6.5%</t>
  </si>
  <si>
    <t>7.0%</t>
  </si>
  <si>
    <t>10%</t>
  </si>
  <si>
    <t>12% ← Damodaran</t>
  </si>
  <si>
    <t>14%</t>
  </si>
  <si>
    <t>16% ← Selected</t>
  </si>
  <si>
    <t>18%</t>
  </si>
  <si>
    <t>20% ← Observed</t>
  </si>
  <si>
    <t>22%</t>
  </si>
  <si>
    <t>LEGEND:</t>
  </si>
  <si>
    <t>BUY</t>
  </si>
  <si>
    <t>Value &gt; CMP (Rs2,572)</t>
  </si>
  <si>
    <t>HOLD</t>
  </si>
  <si>
    <t>Value between Rs2,186 and Rs2,572  (within 15% of CMP)</t>
  </si>
  <si>
    <t>SELL</t>
  </si>
  <si>
    <t>Value &lt; Rs2,186  (&gt;15% below CMP)</t>
  </si>
  <si>
    <t>Bold border</t>
  </si>
  <si>
    <t>Base case: WACC=16.64% (Selected), g=5.5%</t>
  </si>
  <si>
    <t>METHODOLOGY</t>
  </si>
  <si>
    <t>Each cell computes intrinsic value per share using the DCF Gordon Growth formula with the given WACC and g. FCFF FY26-FY30 are held constant (from DCF sheet). Terminal Value = FY30 FCFF x (1+g) / (WACC-g), discounted at (1+WACC)^5. Mid-year convention applied to explicit forecast FCFs (t=0.5,1.5,2.5,3.5,4.5). Net cash bridge (Rs12,111 Cr) and shares (40.338 Cr) held constant. N/A shown where WACC &lt;= g (Gordon Growth formula invalid). Highlighted row: Selected WACC 16.64% (rounded to 16%). Highlighted column: Base case g=5.5%.</t>
  </si>
  <si>
    <t>FINAL VALUATION SUMMARY — MAZAGON DOCK SHIPBUILDERS LTD | Jan 31, 2026</t>
  </si>
  <si>
    <t>METHOD</t>
  </si>
  <si>
    <t>VALUE PER SHARE (Rs)</t>
  </si>
  <si>
    <t>WEIGHT (%)</t>
  </si>
  <si>
    <t>WEIGHTED VALUE (Rs)</t>
  </si>
  <si>
    <t>FORMULA / SOURCE</t>
  </si>
  <si>
    <t>A.  VALUATION METHODS  —  32 / 32 / 32 / 4  Equal Weighting</t>
  </si>
  <si>
    <t>DCF — Observed Beta WACC (20.45%)</t>
  </si>
  <si>
    <t>DCF!K59 — Intrinsic Value per Share, Gordon Growth TV, Observed Beta WACC (20.45%), g=5.5%, mid-year convention</t>
  </si>
  <si>
    <t>DCF — Damodaran Beta WACC (12.84%)</t>
  </si>
  <si>
    <t>DCF!K60 — Intrinsic Value per Share, Gordon Growth TV, Damodaran Bottom-Up WACC (12.84%), g=5.5%, mid-year convention</t>
  </si>
  <si>
    <t>CCA — Comparable Company Analysis</t>
  </si>
  <si>
    <t>CCA!F35 — Base Case avg of EV/EBITDA Mean+Median + P/E Mean+Median (50/50 Shipbuilding/Defence PSU weighting)</t>
  </si>
  <si>
    <t>DDM — Dividend Discount Model</t>
  </si>
  <si>
    <t>AVERAGE(DDM!D30,DDM!E30) — Avg of Gordon Growth and H-Model DDM across both Ke methods</t>
  </si>
  <si>
    <t>WEIGHTED AVERAGE INTRINSIC VALUE PER SHARE  (Rs)</t>
  </si>
  <si>
    <t>Weighted Avg = SUM(Value × Weight) across all 4 methods</t>
  </si>
  <si>
    <t>CMP — Current Market Price (Rs)  as of Jan 31, 2026</t>
  </si>
  <si>
    <t>NSE closing price Jan 30, 2026 (Jan 31 = Saturday)</t>
  </si>
  <si>
    <t>B.  VALUATION RANGE</t>
  </si>
  <si>
    <t>Bear Case  —  DCF Observed WACC (most conservative)</t>
  </si>
  <si>
    <t>DCF at highest discount rate (20.45%) — market-observed beta, most conservative</t>
  </si>
  <si>
    <t>Base Case  —  Weighted Average (all 4 methods)</t>
  </si>
  <si>
    <t>Equal-weighted triangulation of DCF (×2), CCA, DDM</t>
  </si>
  <si>
    <t>Bull Case  —  CCA Base Case (market multiples)</t>
  </si>
  <si>
    <t>CCA implies Rs2,896 — market was pricing MDL at premium to peer multiples</t>
  </si>
  <si>
    <t>C.  RECOMMENDATION  —  as of Jan 31, 2026</t>
  </si>
  <si>
    <t>Weighted Average Intrinsic Value  (Rs)</t>
  </si>
  <si>
    <t>Current Market Price — CMP  (Rs)</t>
  </si>
  <si>
    <t>Upside / (Downside)  (%)</t>
  </si>
  <si>
    <t>Rating</t>
  </si>
  <si>
    <t>BUY if upside &gt;15% | HOLD if -15% to +15% | SELL if downside &gt;15%</t>
  </si>
  <si>
    <t>12-Month Price Target  (Rs)</t>
  </si>
  <si>
    <t>Price target = weighted average intrinsic value. No separate premium/discount applied.</t>
  </si>
  <si>
    <t>D.  WEIGHTING RATIONALE  &amp;  METHOD NOTES</t>
  </si>
  <si>
    <t>Equal Weighting — 32/32/32/4</t>
  </si>
  <si>
    <t>Each of the three primary valuation methodologies (DCF Observed, DCF Damodaran, CCA) receives equal weight (32%). No single method is prioritised over another — each captures a different dimension of value: DCF captures intrinsic cash flow value, CCA captures relative market pricing, and the dual WACC DCF brackets fundamental vs market-observed risk. Equal weighting removes analyst subjectivity and is standard practice at institutional research desks (Goldman Sachs, JP Morgan, Morgan Stanley). DDM receives 4% — included for completeness but structurally inappropriate as MDL is priced for earnings/order book growth, not dividend yield (dividend yield at CMP = 0.58%). The three methods independently arriving at a coherent range is more powerful than any single method.</t>
  </si>
  <si>
    <t>DCF — Observed WACC (32%)</t>
  </si>
  <si>
    <t>Uses 2Y weekly beta of 1.95 computed from NSE data (Jan 2024–Jan 2026) vs Nifty 50. WACC = 20.45%. This method reflects how the market priced MDL risk during the FY25 defence sector re-rating cycle. The high WACC gives the most conservative DCF value (Rs1,140) and serves as the bear case anchor. Limitation: the 1.95 beta is elevated by the structural defence sector re-rating and overstates MDL's fundamental cash flow risk.</t>
  </si>
  <si>
    <t>DCF — Damodaran WACC (32%)</t>
  </si>
  <si>
    <t>Uses Damodaran Aerospace/Defence sector unlevered beta (0.87, cash-corrected, 79 US firms, Jan 2026) re-levered to MDL's near-zero debt structure. WACC = 12.84%. This method captures the fundamental business risk of a sovereign-contract shipbuilder — 100% Navy revenue, captive order book, no demand risk. The Rs2,169 implied value is closest to CMP and most consistent with where the market was actually trading the stock.</t>
  </si>
  <si>
    <t>CCA — 50/50 Shipbuilding / Defence PSU (32%)</t>
  </si>
  <si>
    <t>Five peers: Cochin Shipyard and GRSE (pure shipbuilding, 50% weight) plus BEL, HAL, BDL (defence PSU, 50% weight). BDL excluded from P/E calculation (FY25 PAT temporarily depressed at Rs550 Cr relative to re-rated stock price of Rs1,538 — 102x P/E is a transition year artifact). EV/EBITDA and P/E multiples used as primary (60% of CCA base); EV/Revenue and P/B as supplemental. CCA base case Rs2,896 implies MDL was slightly undervalued vs peers — consistent with the observation that MDL's P/E (43x) was below the peer combined mean (53x).</t>
  </si>
  <si>
    <t>DDM — Gordon Growth + H-Model (4%)</t>
  </si>
  <si>
    <t>DDM severely undervalues MDL (Rs130-264) because at CMP Rs2,572 the dividend yield is only 0.58% (DPS Rs14.99). The market is pricing MDL for order book execution and earnings growth (P75I Rs99,000 Cr, Nhava Yard capacity expansion), not dividend income. DDM is appropriate only for mature, dividend-oriented companies. Included at 4% weight for analytical completeness and as a structural downside anchor — if MDL's growth thesis fails and the stock derated to a pure dividend yield basis, the DDM value floor would apply.</t>
  </si>
  <si>
    <t>KEY RATIOS  —  MAZAGON DOCK SHIPBUILDERS LTD  |  FY21 to FY30</t>
  </si>
  <si>
    <t>RATIO</t>
  </si>
  <si>
    <t>A.  PROFITABILITY RATIOS</t>
  </si>
  <si>
    <t>Revenue Growth YoY (%)</t>
  </si>
  <si>
    <t>EBITDA  (Rs Crore)</t>
  </si>
  <si>
    <t>PBT Margin (%)</t>
  </si>
  <si>
    <t>Net Profit Margin (%)</t>
  </si>
  <si>
    <t>Return on Equity — ROE (%)</t>
  </si>
  <si>
    <t>Return on Assets — ROA (%)</t>
  </si>
  <si>
    <t>Return on Capital Employed — ROCE (%)</t>
  </si>
  <si>
    <t>B.  LIQUIDITY RATIOS</t>
  </si>
  <si>
    <t>Current Ratio  (x)</t>
  </si>
  <si>
    <t>Quick Ratio  (x)</t>
  </si>
  <si>
    <t>Cash Ratio  (x)</t>
  </si>
  <si>
    <t>Cash and Investments  (Rs Crore)</t>
  </si>
  <si>
    <t>Net Cash Position  (Rs Crore)</t>
  </si>
  <si>
    <t>C.  EFFICIENCY RATIOS</t>
  </si>
  <si>
    <t>Asset Turnover  (x)</t>
  </si>
  <si>
    <t>Inventory Turnover  (x)</t>
  </si>
  <si>
    <t>Days Inventory Outstanding — DIO  (days)</t>
  </si>
  <si>
    <t>Days Sales Outstanding — DSO  (days)</t>
  </si>
  <si>
    <t>Days Payable Outstanding — DPO  (days)</t>
  </si>
  <si>
    <t>Cash Conversion Cycle — CCC  (days)</t>
  </si>
  <si>
    <t>D.  LEVERAGE AND COVERAGE RATIOS</t>
  </si>
  <si>
    <t>Debt / Equity  (x)</t>
  </si>
  <si>
    <t>Net Debt / EBITDA  (x)</t>
  </si>
  <si>
    <t>Interest Coverage Ratio  (x)</t>
  </si>
  <si>
    <t>Debt / Total Assets  (%)</t>
  </si>
  <si>
    <t>E.  VALUATION RATIOS</t>
  </si>
  <si>
    <t>EPS — Basic  (Rs)</t>
  </si>
  <si>
    <t>EPS Growth YoY  (%)</t>
  </si>
  <si>
    <t>Dividend Per Share — DPS  (Rs)</t>
  </si>
  <si>
    <t>Book Value per Share  (Rs)</t>
  </si>
  <si>
    <t>F.  ORDER BOOK METRICS</t>
  </si>
  <si>
    <t>Order Book Closing  (Rs Crore)</t>
  </si>
  <si>
    <t>Book-to-Bill Ratio  (x)</t>
  </si>
  <si>
    <t>New Orders Received  (Rs Crore)</t>
  </si>
  <si>
    <t>Revenue Recognized from Order Book  (Rs Crore)</t>
  </si>
  <si>
    <t>Order Book Coverage  (x)  — Order Book / Annual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</si>
</sst>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m/d/yyyy"/>
    <numFmt numFmtId="165" formatCode="\₹#,##0.00;[Red]&quot;-₹&quot;#,##0.00"/>
    <numFmt numFmtId="166" formatCode="\₹#,##0.00;[Red]&quot;(₹&quot;#,##0.00\)"/>
    <numFmt numFmtId="167" formatCode="0.00%;[Red]\-0.00%"/>
    <numFmt numFmtId="168" formatCode="#,##0.000"/>
    <numFmt numFmtId="169" formatCode="0.0%"/>
    <numFmt numFmtId="170" formatCode="#,##0_ ;[Red]\-#,##0\ "/>
    <numFmt numFmtId="171" formatCode="d\-mmm"/>
    <numFmt numFmtId="172" formatCode="0.0000"/>
    <numFmt numFmtId="173" formatCode="0.0"/>
    <numFmt numFmtId="174" formatCode="0.000"/>
    <numFmt numFmtId="175" formatCode="0.0\x"/>
    <numFmt numFmtId="176" formatCode="\₹#,##0.00"/>
    <numFmt numFmtId="177" formatCode="\$#,##0.00&quot; Bn&quot;"/>
  </numFmts>
  <fonts count="41" x14ac:knownFonts="1">
    <font>
      <sz val="11"/>
      <color theme="1"/>
      <name val="Aptos Narrow"/>
      <charset val="1"/>
    </font>
    <font>
      <b/>
      <sz val="13"/>
      <color rgb="FFFFFFFF"/>
      <name val="Aptos Narrow"/>
      <family val="2"/>
    </font>
    <font>
      <b/>
      <sz val="11"/>
      <color rgb="FF000000"/>
      <name val="Aptos Narrow"/>
      <family val="2"/>
    </font>
    <font>
      <sz val="11"/>
      <color rgb="FF000000"/>
      <name val="Aptos Narrow"/>
      <family val="2"/>
    </font>
    <font>
      <sz val="9"/>
      <color rgb="FF595959"/>
      <name val="Aptos Narrow"/>
      <family val="2"/>
    </font>
    <font>
      <sz val="11"/>
      <color rgb="FFFFFFFF"/>
      <name val="Aptos Narrow"/>
      <family val="2"/>
    </font>
    <font>
      <sz val="9"/>
      <color rgb="FF000000"/>
      <name val="Aptos Narrow"/>
      <family val="2"/>
    </font>
    <font>
      <sz val="11"/>
      <color theme="1"/>
      <name val="Aptos Narrow"/>
      <family val="2"/>
      <charset val="1"/>
    </font>
    <font>
      <i/>
      <sz val="11"/>
      <color rgb="FF006100"/>
      <name val="Aptos Narrow"/>
      <family val="2"/>
      <charset val="1"/>
    </font>
    <font>
      <i/>
      <sz val="11"/>
      <color rgb="FF9C5700"/>
      <name val="Aptos Narrow"/>
      <family val="2"/>
      <charset val="1"/>
    </font>
    <font>
      <sz val="11"/>
      <color rgb="FF000000"/>
      <name val="Aptos Narrow"/>
      <family val="2"/>
      <charset val="1"/>
    </font>
    <font>
      <b/>
      <sz val="11"/>
      <color theme="1"/>
      <name val="Aptos Narrow"/>
      <family val="2"/>
      <charset val="1"/>
    </font>
    <font>
      <b/>
      <sz val="11"/>
      <color rgb="FF000000"/>
      <name val="Aptos Narrow"/>
      <family val="2"/>
      <charset val="1"/>
    </font>
    <font>
      <i/>
      <sz val="11"/>
      <color theme="1"/>
      <name val="Aptos Narrow"/>
      <family val="2"/>
      <charset val="1"/>
    </font>
    <font>
      <i/>
      <sz val="11"/>
      <color rgb="FF000000"/>
      <name val="Aptos Narrow"/>
      <family val="2"/>
      <charset val="1"/>
    </font>
    <font>
      <i/>
      <sz val="11"/>
      <color rgb="FF000000"/>
      <name val="Aptos Narrow"/>
      <family val="2"/>
    </font>
    <font>
      <b/>
      <i/>
      <sz val="11"/>
      <color rgb="FF000000"/>
      <name val="Aptos Narrow"/>
      <family val="2"/>
    </font>
    <font>
      <sz val="11"/>
      <color rgb="FF006100"/>
      <name val="Aptos Narrow"/>
      <family val="2"/>
      <charset val="1"/>
    </font>
    <font>
      <sz val="11"/>
      <color rgb="FF9C5700"/>
      <name val="Aptos Narrow"/>
      <family val="2"/>
      <charset val="1"/>
    </font>
    <font>
      <b/>
      <sz val="11"/>
      <name val="Aptos Narrow"/>
      <family val="2"/>
      <charset val="1"/>
    </font>
    <font>
      <sz val="11"/>
      <color rgb="FF0070C0"/>
      <name val="Aptos Narrow"/>
      <family val="2"/>
    </font>
    <font>
      <b/>
      <sz val="11"/>
      <color rgb="FF0070C0"/>
      <name val="Aptos Narrow"/>
      <family val="2"/>
    </font>
    <font>
      <b/>
      <i/>
      <sz val="11"/>
      <color theme="1"/>
      <name val="Aptos Narrow"/>
      <family val="2"/>
      <charset val="1"/>
    </font>
    <font>
      <i/>
      <sz val="10"/>
      <color rgb="FF000000"/>
      <name val="Aptos Narrow"/>
      <family val="2"/>
    </font>
    <font>
      <sz val="10"/>
      <color rgb="FF000000"/>
      <name val="Aptos Narrow"/>
      <family val="2"/>
    </font>
    <font>
      <b/>
      <sz val="11"/>
      <name val="Aptos Narrow"/>
      <family val="2"/>
    </font>
    <font>
      <sz val="11"/>
      <name val="Aptos Narrow"/>
      <family val="2"/>
    </font>
    <font>
      <b/>
      <sz val="12"/>
      <color rgb="FF0070C0"/>
      <name val="Aptos Narrow"/>
      <family val="2"/>
    </font>
    <font>
      <i/>
      <sz val="11"/>
      <name val="Aptos Narrow"/>
      <family val="2"/>
      <charset val="1"/>
    </font>
    <font>
      <sz val="11"/>
      <name val="Aptos Narrow"/>
      <family val="2"/>
      <charset val="1"/>
    </font>
    <font>
      <b/>
      <sz val="11"/>
      <color rgb="FF1F4E79"/>
      <name val="Aptos Narrow"/>
      <family val="2"/>
    </font>
    <font>
      <i/>
      <sz val="11"/>
      <color rgb="FF595959"/>
      <name val="Aptos Narrow"/>
      <family val="2"/>
    </font>
    <font>
      <b/>
      <sz val="11"/>
      <color rgb="FFCC0000"/>
      <name val="Aptos Narrow"/>
      <family val="2"/>
    </font>
    <font>
      <i/>
      <sz val="9"/>
      <color rgb="FFCC0000"/>
      <name val="Aptos Narrow"/>
      <family val="2"/>
    </font>
    <font>
      <sz val="9"/>
      <color rgb="FFCC0000"/>
      <name val="Aptos Narrow"/>
      <family val="2"/>
    </font>
    <font>
      <b/>
      <sz val="11"/>
      <color rgb="FF006100"/>
      <name val="Aptos Narrow"/>
      <family val="2"/>
    </font>
    <font>
      <sz val="11"/>
      <color rgb="FF006100"/>
      <name val="Aptos Narrow"/>
      <family val="2"/>
    </font>
    <font>
      <b/>
      <sz val="11"/>
      <color rgb="FF9C5700"/>
      <name val="Aptos Narrow"/>
      <family val="2"/>
    </font>
    <font>
      <sz val="11"/>
      <color rgb="FF9C5700"/>
      <name val="Aptos Narrow"/>
      <family val="2"/>
    </font>
    <font>
      <b/>
      <sz val="14"/>
      <color rgb="FF0070C0"/>
      <name val="Aptos Narrow"/>
      <family val="2"/>
    </font>
    <font>
      <i/>
      <sz val="9"/>
      <color rgb="FF595959"/>
      <name val="Aptos Narrow"/>
      <family val="2"/>
    </font>
  </fonts>
  <fills count="14">
    <fill>
      <patternFill patternType="none"/>
    </fill>
    <fill>
      <patternFill patternType="gray125"/>
    </fill>
    <fill>
      <patternFill patternType="solid">
        <fgColor rgb="FF1F4E79"/>
        <bgColor rgb="FF003366"/>
      </patternFill>
    </fill>
    <fill>
      <patternFill patternType="solid">
        <fgColor rgb="FFBDD7EE"/>
        <bgColor rgb="FFD8D8D8"/>
      </patternFill>
    </fill>
    <fill>
      <patternFill patternType="solid">
        <fgColor rgb="FFD9D9D9"/>
        <bgColor rgb="FFD8D8D8"/>
      </patternFill>
    </fill>
    <fill>
      <patternFill patternType="solid">
        <fgColor rgb="FFC6EFCE"/>
        <bgColor rgb="FFD9D9D9"/>
      </patternFill>
    </fill>
    <fill>
      <patternFill patternType="solid">
        <fgColor rgb="FFFFEB9C"/>
        <bgColor rgb="FFFFF2CC"/>
      </patternFill>
    </fill>
    <fill>
      <patternFill patternType="solid">
        <fgColor rgb="FFFAE2D5"/>
        <bgColor rgb="FFFFF2CC"/>
      </patternFill>
    </fill>
    <fill>
      <patternFill patternType="solid">
        <fgColor rgb="FFD8D8D8"/>
        <bgColor rgb="FFD9D9D9"/>
      </patternFill>
    </fill>
    <fill>
      <patternFill patternType="solid">
        <fgColor rgb="FFBFBFBF"/>
        <bgColor rgb="FFBDD7EE"/>
      </patternFill>
    </fill>
    <fill>
      <patternFill patternType="solid">
        <fgColor rgb="FF4472C4"/>
        <bgColor rgb="FF0070C0"/>
      </patternFill>
    </fill>
    <fill>
      <patternFill patternType="solid">
        <fgColor rgb="FF70AD47"/>
        <bgColor rgb="FF99CC00"/>
      </patternFill>
    </fill>
    <fill>
      <patternFill patternType="solid">
        <fgColor rgb="FFFFF2CC"/>
        <bgColor rgb="FFFAE2D5"/>
      </patternFill>
    </fill>
    <fill>
      <patternFill patternType="solid">
        <fgColor rgb="FFFFC7CE"/>
        <bgColor rgb="FFFAE2D5"/>
      </patternFill>
    </fill>
  </fills>
  <borders count="19">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695">
    <xf numFmtId="0" fontId="0" fillId="0" borderId="0" xfId="0"/>
    <xf numFmtId="0" fontId="1" fillId="2" borderId="0" xfId="0" applyFont="1" applyFill="1" applyAlignment="1">
      <alignment horizontal="left" vertical="center"/>
    </xf>
    <xf numFmtId="0" fontId="0" fillId="2" borderId="0" xfId="0" applyFill="1"/>
    <xf numFmtId="0" fontId="2" fillId="3" borderId="0" xfId="0" applyFont="1" applyFill="1" applyAlignment="1">
      <alignment horizontal="left" vertical="center"/>
    </xf>
    <xf numFmtId="0" fontId="0" fillId="3" borderId="0" xfId="0" applyFill="1"/>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2"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4" fillId="3" borderId="0" xfId="0" applyFont="1" applyFill="1" applyAlignment="1">
      <alignment horizontal="left" vertical="center"/>
    </xf>
    <xf numFmtId="0" fontId="3" fillId="9" borderId="0" xfId="0" applyFont="1" applyFill="1" applyAlignment="1">
      <alignment horizontal="center" vertical="center"/>
    </xf>
    <xf numFmtId="0" fontId="5" fillId="10" borderId="0" xfId="0" applyFont="1" applyFill="1" applyAlignment="1">
      <alignment horizontal="center" vertical="center"/>
    </xf>
    <xf numFmtId="0" fontId="3" fillId="11" borderId="0" xfId="0" applyFont="1" applyFill="1" applyAlignment="1">
      <alignment horizontal="center" vertical="center"/>
    </xf>
    <xf numFmtId="0" fontId="6" fillId="0" borderId="0" xfId="0" applyFont="1" applyAlignment="1">
      <alignment horizontal="left" vertical="center"/>
    </xf>
    <xf numFmtId="0" fontId="7" fillId="0" borderId="0" xfId="0" applyFont="1"/>
    <xf numFmtId="0" fontId="7" fillId="0" borderId="1" xfId="0" applyFont="1" applyBorder="1"/>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9" fillId="6" borderId="2" xfId="0" applyFont="1" applyFill="1" applyBorder="1" applyAlignment="1">
      <alignment horizontal="center"/>
    </xf>
    <xf numFmtId="0" fontId="9" fillId="6" borderId="3" xfId="0" applyFont="1" applyFill="1" applyBorder="1" applyAlignment="1">
      <alignment horizontal="center"/>
    </xf>
    <xf numFmtId="0" fontId="9" fillId="6" borderId="4" xfId="0" applyFont="1" applyFill="1" applyBorder="1" applyAlignment="1">
      <alignment horizontal="center"/>
    </xf>
    <xf numFmtId="0" fontId="2" fillId="0" borderId="5" xfId="0" applyFont="1" applyBorder="1"/>
    <xf numFmtId="164" fontId="2" fillId="0" borderId="6" xfId="0" applyNumberFormat="1" applyFont="1" applyBorder="1" applyAlignment="1">
      <alignment horizontal="center"/>
    </xf>
    <xf numFmtId="164" fontId="2" fillId="0" borderId="0" xfId="0" applyNumberFormat="1" applyFont="1" applyAlignment="1">
      <alignment horizontal="center"/>
    </xf>
    <xf numFmtId="164" fontId="2" fillId="0" borderId="7" xfId="0" applyNumberFormat="1" applyFont="1" applyBorder="1" applyAlignment="1">
      <alignment horizontal="center"/>
    </xf>
    <xf numFmtId="0" fontId="10" fillId="0" borderId="5" xfId="0" applyFont="1" applyBorder="1"/>
    <xf numFmtId="165" fontId="10" fillId="0" borderId="6" xfId="0" applyNumberFormat="1" applyFont="1" applyBorder="1"/>
    <xf numFmtId="165" fontId="10" fillId="0" borderId="0" xfId="0" applyNumberFormat="1" applyFont="1"/>
    <xf numFmtId="165" fontId="10" fillId="0" borderId="7" xfId="0" applyNumberFormat="1" applyFont="1" applyBorder="1"/>
    <xf numFmtId="165" fontId="3" fillId="0" borderId="6" xfId="0" applyNumberFormat="1" applyFont="1" applyBorder="1"/>
    <xf numFmtId="165" fontId="3" fillId="0" borderId="0" xfId="0" applyNumberFormat="1" applyFont="1"/>
    <xf numFmtId="165" fontId="3" fillId="0" borderId="7" xfId="0" applyNumberFormat="1" applyFont="1" applyBorder="1"/>
    <xf numFmtId="166" fontId="3" fillId="0" borderId="6" xfId="0" applyNumberFormat="1" applyFont="1" applyBorder="1"/>
    <xf numFmtId="166" fontId="3" fillId="0" borderId="0" xfId="0" applyNumberFormat="1" applyFont="1"/>
    <xf numFmtId="166" fontId="3" fillId="0" borderId="7" xfId="0" applyNumberFormat="1" applyFont="1" applyBorder="1"/>
    <xf numFmtId="10" fontId="7" fillId="0" borderId="0" xfId="0" applyNumberFormat="1" applyFont="1"/>
    <xf numFmtId="0" fontId="11" fillId="0" borderId="0" xfId="0" applyFont="1"/>
    <xf numFmtId="0" fontId="12" fillId="0" borderId="0" xfId="0" applyFont="1"/>
    <xf numFmtId="0" fontId="12" fillId="0" borderId="5" xfId="0" applyFont="1" applyBorder="1"/>
    <xf numFmtId="165" fontId="2" fillId="0" borderId="6" xfId="0" applyNumberFormat="1" applyFont="1" applyBorder="1"/>
    <xf numFmtId="165" fontId="2" fillId="0" borderId="0" xfId="0" applyNumberFormat="1" applyFont="1"/>
    <xf numFmtId="165" fontId="2" fillId="0" borderId="7" xfId="0" applyNumberFormat="1" applyFont="1" applyBorder="1"/>
    <xf numFmtId="0" fontId="13" fillId="0" borderId="0" xfId="0" applyFont="1"/>
    <xf numFmtId="0" fontId="14" fillId="0" borderId="5" xfId="0" applyFont="1" applyBorder="1"/>
    <xf numFmtId="0" fontId="13" fillId="0" borderId="6" xfId="0" applyFont="1" applyBorder="1"/>
    <xf numFmtId="167" fontId="15" fillId="0" borderId="0" xfId="0" applyNumberFormat="1" applyFont="1"/>
    <xf numFmtId="167" fontId="15" fillId="0" borderId="7" xfId="0" applyNumberFormat="1" applyFont="1" applyBorder="1"/>
    <xf numFmtId="167" fontId="15" fillId="0" borderId="6" xfId="0" applyNumberFormat="1" applyFont="1" applyBorder="1"/>
    <xf numFmtId="0" fontId="7" fillId="0" borderId="5" xfId="0" applyFont="1" applyBorder="1"/>
    <xf numFmtId="0" fontId="7" fillId="0" borderId="6" xfId="0" applyFont="1" applyBorder="1"/>
    <xf numFmtId="0" fontId="7" fillId="0" borderId="7" xfId="0" applyFont="1" applyBorder="1"/>
    <xf numFmtId="166" fontId="7" fillId="0" borderId="6" xfId="0" applyNumberFormat="1" applyFont="1" applyBorder="1"/>
    <xf numFmtId="166" fontId="7" fillId="0" borderId="0" xfId="0" applyNumberFormat="1" applyFont="1"/>
    <xf numFmtId="166" fontId="7" fillId="0" borderId="7" xfId="0" applyNumberFormat="1" applyFont="1" applyBorder="1"/>
    <xf numFmtId="165" fontId="12" fillId="0" borderId="6" xfId="0" applyNumberFormat="1" applyFont="1" applyBorder="1"/>
    <xf numFmtId="165" fontId="12" fillId="0" borderId="0" xfId="0" applyNumberFormat="1" applyFont="1"/>
    <xf numFmtId="165" fontId="12" fillId="0" borderId="7" xfId="0" applyNumberFormat="1" applyFont="1" applyBorder="1"/>
    <xf numFmtId="0" fontId="10" fillId="0" borderId="0" xfId="0" applyFont="1"/>
    <xf numFmtId="0" fontId="3" fillId="0" borderId="5" xfId="0" applyFont="1" applyBorder="1"/>
    <xf numFmtId="165" fontId="10" fillId="9" borderId="6" xfId="0" applyNumberFormat="1" applyFont="1" applyFill="1" applyBorder="1"/>
    <xf numFmtId="0" fontId="11" fillId="0" borderId="6" xfId="0" applyFont="1" applyBorder="1"/>
    <xf numFmtId="0" fontId="11" fillId="0" borderId="7" xfId="0" applyFont="1" applyBorder="1"/>
    <xf numFmtId="165" fontId="14" fillId="0" borderId="6" xfId="0" applyNumberFormat="1" applyFont="1" applyBorder="1"/>
    <xf numFmtId="165" fontId="14" fillId="0" borderId="0" xfId="0" applyNumberFormat="1" applyFont="1"/>
    <xf numFmtId="165" fontId="14" fillId="0" borderId="7" xfId="0" applyNumberFormat="1" applyFont="1" applyBorder="1"/>
    <xf numFmtId="165" fontId="15" fillId="0" borderId="6" xfId="0" applyNumberFormat="1" applyFont="1" applyBorder="1"/>
    <xf numFmtId="165" fontId="15" fillId="0" borderId="0" xfId="0" applyNumberFormat="1" applyFont="1"/>
    <xf numFmtId="165" fontId="15" fillId="0" borderId="7" xfId="0" applyNumberFormat="1" applyFont="1" applyBorder="1"/>
    <xf numFmtId="0" fontId="11" fillId="9" borderId="0" xfId="0" applyFont="1" applyFill="1"/>
    <xf numFmtId="0" fontId="2" fillId="9" borderId="5" xfId="0" applyFont="1" applyFill="1" applyBorder="1"/>
    <xf numFmtId="0" fontId="11" fillId="9" borderId="6" xfId="0" applyFont="1" applyFill="1" applyBorder="1"/>
    <xf numFmtId="0" fontId="11" fillId="9" borderId="7" xfId="0" applyFont="1" applyFill="1" applyBorder="1"/>
    <xf numFmtId="168" fontId="10" fillId="0" borderId="6" xfId="0" applyNumberFormat="1" applyFont="1" applyBorder="1"/>
    <xf numFmtId="168" fontId="10" fillId="0" borderId="0" xfId="0" applyNumberFormat="1" applyFont="1"/>
    <xf numFmtId="168" fontId="10" fillId="0" borderId="7" xfId="0" applyNumberFormat="1" applyFont="1" applyBorder="1"/>
    <xf numFmtId="165" fontId="7" fillId="8" borderId="6" xfId="0" applyNumberFormat="1" applyFont="1" applyFill="1" applyBorder="1"/>
    <xf numFmtId="165" fontId="7" fillId="0" borderId="0" xfId="0" applyNumberFormat="1" applyFont="1"/>
    <xf numFmtId="166" fontId="2" fillId="0" borderId="6" xfId="0" applyNumberFormat="1" applyFont="1" applyBorder="1"/>
    <xf numFmtId="166" fontId="2" fillId="0" borderId="0" xfId="0" applyNumberFormat="1" applyFont="1"/>
    <xf numFmtId="166" fontId="2" fillId="0" borderId="7" xfId="0" applyNumberFormat="1" applyFont="1" applyBorder="1"/>
    <xf numFmtId="0" fontId="3" fillId="0" borderId="8" xfId="0" applyFont="1" applyBorder="1"/>
    <xf numFmtId="0" fontId="7" fillId="8" borderId="9" xfId="0" applyFont="1" applyFill="1" applyBorder="1"/>
    <xf numFmtId="166" fontId="3" fillId="0" borderId="10" xfId="0" applyNumberFormat="1" applyFont="1" applyBorder="1"/>
    <xf numFmtId="166" fontId="3" fillId="0" borderId="11" xfId="0" applyNumberFormat="1" applyFont="1" applyBorder="1"/>
    <xf numFmtId="166" fontId="3" fillId="0" borderId="9" xfId="0" applyNumberFormat="1" applyFont="1" applyBorder="1"/>
    <xf numFmtId="0" fontId="7" fillId="0" borderId="0" xfId="0" applyFont="1" applyAlignment="1">
      <alignment horizontal="left"/>
    </xf>
    <xf numFmtId="0" fontId="0" fillId="0" borderId="1" xfId="0" applyBorder="1"/>
    <xf numFmtId="0" fontId="2" fillId="0" borderId="5" xfId="0" applyFont="1" applyBorder="1" applyAlignment="1">
      <alignment horizontal="left"/>
    </xf>
    <xf numFmtId="0" fontId="7" fillId="3" borderId="0" xfId="0" applyFont="1" applyFill="1"/>
    <xf numFmtId="0" fontId="2" fillId="3" borderId="5" xfId="0" applyFont="1" applyFill="1" applyBorder="1" applyAlignment="1">
      <alignment horizontal="left"/>
    </xf>
    <xf numFmtId="0" fontId="7" fillId="3" borderId="6" xfId="0" applyFont="1" applyFill="1" applyBorder="1" applyAlignment="1">
      <alignment horizontal="right"/>
    </xf>
    <xf numFmtId="0" fontId="7" fillId="3" borderId="0" xfId="0" applyFont="1" applyFill="1" applyAlignment="1">
      <alignment horizontal="right"/>
    </xf>
    <xf numFmtId="0" fontId="7" fillId="3" borderId="7" xfId="0" applyFont="1" applyFill="1" applyBorder="1" applyAlignment="1">
      <alignment horizontal="right"/>
    </xf>
    <xf numFmtId="0" fontId="7" fillId="3" borderId="6" xfId="0" applyFont="1" applyFill="1" applyBorder="1"/>
    <xf numFmtId="0" fontId="7" fillId="3" borderId="7" xfId="0" applyFont="1" applyFill="1" applyBorder="1"/>
    <xf numFmtId="0" fontId="16" fillId="0" borderId="5" xfId="0" applyFont="1" applyBorder="1" applyAlignment="1">
      <alignment horizontal="left"/>
    </xf>
    <xf numFmtId="0" fontId="0" fillId="0" borderId="6" xfId="0" applyBorder="1"/>
    <xf numFmtId="0" fontId="0" fillId="0" borderId="7" xfId="0" applyBorder="1"/>
    <xf numFmtId="0" fontId="3" fillId="0" borderId="5" xfId="0" applyFont="1" applyBorder="1" applyAlignment="1">
      <alignment horizontal="left"/>
    </xf>
    <xf numFmtId="0" fontId="7" fillId="0" borderId="5" xfId="0" applyFont="1" applyBorder="1" applyAlignment="1">
      <alignment horizontal="left"/>
    </xf>
    <xf numFmtId="165" fontId="7" fillId="0" borderId="6" xfId="0" applyNumberFormat="1" applyFont="1" applyBorder="1"/>
    <xf numFmtId="165" fontId="7" fillId="0" borderId="7" xfId="0" applyNumberFormat="1" applyFont="1" applyBorder="1"/>
    <xf numFmtId="166" fontId="11" fillId="0" borderId="0" xfId="0" applyNumberFormat="1" applyFont="1" applyAlignment="1">
      <alignment horizontal="right"/>
    </xf>
    <xf numFmtId="166" fontId="3" fillId="0" borderId="6" xfId="0" applyNumberFormat="1" applyFont="1" applyBorder="1" applyAlignment="1">
      <alignment horizontal="right"/>
    </xf>
    <xf numFmtId="166" fontId="3" fillId="0" borderId="0" xfId="0" applyNumberFormat="1" applyFont="1" applyAlignment="1">
      <alignment horizontal="right"/>
    </xf>
    <xf numFmtId="166" fontId="3" fillId="0" borderId="7" xfId="0" applyNumberFormat="1" applyFont="1" applyBorder="1" applyAlignment="1">
      <alignment horizontal="right"/>
    </xf>
    <xf numFmtId="0" fontId="12" fillId="0" borderId="5" xfId="0" applyFont="1" applyBorder="1" applyAlignment="1">
      <alignment horizontal="left"/>
    </xf>
    <xf numFmtId="0" fontId="7" fillId="0" borderId="5" xfId="0" applyFont="1" applyBorder="1" applyAlignment="1">
      <alignment horizontal="right"/>
    </xf>
    <xf numFmtId="0" fontId="11" fillId="0" borderId="5" xfId="0" applyFont="1" applyBorder="1" applyAlignment="1">
      <alignment horizontal="left"/>
    </xf>
    <xf numFmtId="165" fontId="11" fillId="0" borderId="6" xfId="0" applyNumberFormat="1" applyFont="1" applyBorder="1"/>
    <xf numFmtId="165" fontId="11" fillId="0" borderId="0" xfId="0" applyNumberFormat="1" applyFont="1"/>
    <xf numFmtId="165" fontId="11" fillId="0" borderId="7" xfId="0" applyNumberFormat="1" applyFont="1" applyBorder="1"/>
    <xf numFmtId="0" fontId="7" fillId="7" borderId="0" xfId="0" applyFont="1" applyFill="1"/>
    <xf numFmtId="0" fontId="15" fillId="7" borderId="8" xfId="0" applyFont="1" applyFill="1" applyBorder="1" applyAlignment="1">
      <alignment horizontal="left"/>
    </xf>
    <xf numFmtId="165" fontId="15" fillId="7" borderId="9" xfId="0" applyNumberFormat="1" applyFont="1" applyFill="1" applyBorder="1"/>
    <xf numFmtId="165" fontId="15" fillId="7" borderId="10" xfId="0" applyNumberFormat="1" applyFont="1" applyFill="1" applyBorder="1"/>
    <xf numFmtId="165" fontId="15" fillId="7" borderId="11" xfId="0" applyNumberFormat="1" applyFont="1" applyFill="1" applyBorder="1"/>
    <xf numFmtId="166" fontId="7" fillId="0" borderId="0" xfId="0" applyNumberFormat="1" applyFont="1" applyAlignment="1">
      <alignment horizontal="right"/>
    </xf>
    <xf numFmtId="166" fontId="7" fillId="0" borderId="0" xfId="0" applyNumberFormat="1" applyFont="1" applyAlignment="1">
      <alignment horizontal="left"/>
    </xf>
    <xf numFmtId="0" fontId="17" fillId="5" borderId="0" xfId="0" applyFont="1" applyFill="1" applyAlignment="1">
      <alignment horizontal="center"/>
    </xf>
    <xf numFmtId="0" fontId="18" fillId="6" borderId="0" xfId="0" applyFont="1" applyFill="1" applyAlignment="1">
      <alignment horizontal="center"/>
    </xf>
    <xf numFmtId="0" fontId="2" fillId="0" borderId="0" xfId="0" applyFont="1"/>
    <xf numFmtId="0" fontId="19" fillId="3" borderId="0" xfId="0" applyFont="1" applyFill="1"/>
    <xf numFmtId="0" fontId="2" fillId="3" borderId="0" xfId="0" applyFont="1" applyFill="1"/>
    <xf numFmtId="0" fontId="19" fillId="0" borderId="0" xfId="0" applyFont="1"/>
    <xf numFmtId="0" fontId="3" fillId="0" borderId="0" xfId="0" applyFont="1"/>
    <xf numFmtId="165" fontId="20" fillId="0" borderId="0" xfId="0" applyNumberFormat="1" applyFont="1"/>
    <xf numFmtId="169" fontId="20" fillId="0" borderId="0" xfId="0" applyNumberFormat="1" applyFont="1"/>
    <xf numFmtId="166" fontId="0" fillId="0" borderId="0" xfId="0" applyNumberFormat="1"/>
    <xf numFmtId="165" fontId="0" fillId="4" borderId="0" xfId="0" applyNumberFormat="1" applyFill="1"/>
    <xf numFmtId="165" fontId="21" fillId="4" borderId="0" xfId="0" applyNumberFormat="1" applyFont="1" applyFill="1"/>
    <xf numFmtId="165" fontId="21" fillId="0" borderId="0" xfId="0" applyNumberFormat="1" applyFont="1"/>
    <xf numFmtId="169" fontId="0" fillId="0" borderId="0" xfId="0" applyNumberFormat="1"/>
    <xf numFmtId="166" fontId="19" fillId="3" borderId="0" xfId="0" applyNumberFormat="1" applyFont="1" applyFill="1"/>
    <xf numFmtId="0" fontId="8" fillId="5" borderId="2" xfId="0" applyFont="1" applyFill="1" applyBorder="1"/>
    <xf numFmtId="0" fontId="8" fillId="5" borderId="3" xfId="0" applyFont="1" applyFill="1" applyBorder="1"/>
    <xf numFmtId="0" fontId="8" fillId="5" borderId="4" xfId="0" applyFont="1" applyFill="1" applyBorder="1"/>
    <xf numFmtId="0" fontId="9" fillId="6" borderId="2" xfId="0" applyFont="1" applyFill="1" applyBorder="1"/>
    <xf numFmtId="0" fontId="9" fillId="6" borderId="3" xfId="0" applyFont="1" applyFill="1" applyBorder="1"/>
    <xf numFmtId="0" fontId="9" fillId="6" borderId="4" xfId="0" applyFont="1" applyFill="1" applyBorder="1"/>
    <xf numFmtId="0" fontId="16" fillId="3" borderId="5" xfId="0" applyFont="1" applyFill="1" applyBorder="1"/>
    <xf numFmtId="0" fontId="0" fillId="0" borderId="5" xfId="0" applyBorder="1"/>
    <xf numFmtId="0" fontId="16" fillId="0" borderId="5" xfId="0" applyFont="1" applyBorder="1"/>
    <xf numFmtId="0" fontId="7" fillId="8" borderId="6" xfId="0" applyFont="1" applyFill="1" applyBorder="1"/>
    <xf numFmtId="0" fontId="3" fillId="0" borderId="6" xfId="0" applyFont="1" applyBorder="1"/>
    <xf numFmtId="0" fontId="3" fillId="0" borderId="7" xfId="0" applyFont="1" applyBorder="1"/>
    <xf numFmtId="165" fontId="11" fillId="8" borderId="6" xfId="0" applyNumberFormat="1" applyFont="1" applyFill="1" applyBorder="1"/>
    <xf numFmtId="166" fontId="11" fillId="0" borderId="0" xfId="0" applyNumberFormat="1" applyFont="1"/>
    <xf numFmtId="0" fontId="11" fillId="0" borderId="5" xfId="0" applyFont="1" applyBorder="1"/>
    <xf numFmtId="0" fontId="15" fillId="0" borderId="5" xfId="0" applyFont="1" applyBorder="1"/>
    <xf numFmtId="0" fontId="3" fillId="7" borderId="8" xfId="0" applyFont="1" applyFill="1" applyBorder="1"/>
    <xf numFmtId="165" fontId="7" fillId="7" borderId="9" xfId="0" applyNumberFormat="1" applyFont="1" applyFill="1" applyBorder="1"/>
    <xf numFmtId="165" fontId="3" fillId="7" borderId="10" xfId="0" applyNumberFormat="1" applyFont="1" applyFill="1" applyBorder="1"/>
    <xf numFmtId="165" fontId="3" fillId="7" borderId="11" xfId="0" applyNumberFormat="1" applyFont="1" applyFill="1" applyBorder="1"/>
    <xf numFmtId="165" fontId="3" fillId="7" borderId="9" xfId="0" applyNumberFormat="1" applyFont="1" applyFill="1" applyBorder="1"/>
    <xf numFmtId="0" fontId="7" fillId="0" borderId="0" xfId="0" applyFont="1" applyAlignment="1">
      <alignment vertical="center"/>
    </xf>
    <xf numFmtId="49" fontId="7" fillId="0" borderId="0" xfId="0" applyNumberFormat="1" applyFont="1" applyAlignment="1">
      <alignment vertical="center"/>
    </xf>
    <xf numFmtId="0" fontId="7" fillId="0" borderId="0" xfId="0" applyFont="1" applyAlignment="1">
      <alignment horizontal="center" vertical="center"/>
    </xf>
    <xf numFmtId="0" fontId="7" fillId="0" borderId="0" xfId="0" applyFont="1" applyAlignment="1">
      <alignment vertical="center" wrapText="1"/>
    </xf>
    <xf numFmtId="0" fontId="8" fillId="5" borderId="6" xfId="0" applyFont="1" applyFill="1" applyBorder="1" applyAlignment="1">
      <alignment horizontal="center" vertical="center"/>
    </xf>
    <xf numFmtId="0" fontId="8" fillId="5" borderId="0" xfId="0" applyFont="1" applyFill="1" applyAlignment="1">
      <alignment horizontal="center" vertical="center"/>
    </xf>
    <xf numFmtId="0" fontId="8" fillId="5" borderId="7" xfId="0" applyFont="1" applyFill="1" applyBorder="1" applyAlignment="1">
      <alignment horizontal="center" vertical="center"/>
    </xf>
    <xf numFmtId="0" fontId="9" fillId="6" borderId="6" xfId="0" applyFont="1" applyFill="1" applyBorder="1" applyAlignment="1">
      <alignment horizontal="center" vertical="center"/>
    </xf>
    <xf numFmtId="0" fontId="9" fillId="6" borderId="0" xfId="0" applyFont="1" applyFill="1" applyAlignment="1">
      <alignment horizontal="center" vertical="center"/>
    </xf>
    <xf numFmtId="0" fontId="9" fillId="6" borderId="7" xfId="0" applyFont="1" applyFill="1" applyBorder="1" applyAlignment="1">
      <alignment horizontal="center" vertical="center"/>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164" fontId="2" fillId="0" borderId="6" xfId="0" applyNumberFormat="1" applyFont="1" applyBorder="1" applyAlignment="1">
      <alignment horizontal="center" vertical="center"/>
    </xf>
    <xf numFmtId="164" fontId="2" fillId="0" borderId="0" xfId="0" applyNumberFormat="1" applyFont="1" applyAlignment="1">
      <alignment horizontal="center" vertical="center"/>
    </xf>
    <xf numFmtId="164" fontId="2" fillId="0" borderId="7" xfId="0" applyNumberFormat="1" applyFont="1" applyBorder="1" applyAlignment="1">
      <alignment horizontal="center" vertical="center"/>
    </xf>
    <xf numFmtId="0" fontId="2" fillId="0" borderId="5" xfId="0" applyFont="1" applyBorder="1" applyAlignment="1">
      <alignment vertical="center" wrapText="1"/>
    </xf>
    <xf numFmtId="0" fontId="7" fillId="3" borderId="0" xfId="0" applyFont="1" applyFill="1" applyAlignment="1">
      <alignment vertical="center"/>
    </xf>
    <xf numFmtId="49" fontId="2" fillId="3" borderId="1" xfId="0" applyNumberFormat="1" applyFont="1" applyFill="1" applyBorder="1" applyAlignment="1">
      <alignment vertical="center"/>
    </xf>
    <xf numFmtId="0" fontId="11" fillId="3" borderId="1" xfId="0" applyFont="1" applyFill="1" applyBorder="1" applyAlignment="1">
      <alignment horizontal="center" vertical="center"/>
    </xf>
    <xf numFmtId="0" fontId="7" fillId="3" borderId="2" xfId="0" applyFont="1" applyFill="1" applyBorder="1" applyAlignment="1">
      <alignment vertical="center"/>
    </xf>
    <xf numFmtId="0" fontId="7" fillId="3" borderId="3" xfId="0" applyFont="1" applyFill="1" applyBorder="1" applyAlignment="1">
      <alignment vertical="center"/>
    </xf>
    <xf numFmtId="0" fontId="7" fillId="3" borderId="4" xfId="0" applyFont="1" applyFill="1" applyBorder="1" applyAlignment="1">
      <alignment vertical="center"/>
    </xf>
    <xf numFmtId="0" fontId="7" fillId="3" borderId="1" xfId="0" applyFont="1" applyFill="1" applyBorder="1" applyAlignment="1">
      <alignment vertical="center" wrapText="1"/>
    </xf>
    <xf numFmtId="0" fontId="13" fillId="0" borderId="0" xfId="0" applyFont="1" applyAlignment="1">
      <alignment vertical="center"/>
    </xf>
    <xf numFmtId="49" fontId="16" fillId="0" borderId="5" xfId="0" applyNumberFormat="1" applyFont="1" applyBorder="1" applyAlignment="1">
      <alignment vertical="center"/>
    </xf>
    <xf numFmtId="0" fontId="22" fillId="0" borderId="5" xfId="0" applyFont="1" applyBorder="1" applyAlignment="1">
      <alignment horizontal="center" vertical="center"/>
    </xf>
    <xf numFmtId="166" fontId="13" fillId="8" borderId="6" xfId="0" applyNumberFormat="1" applyFont="1" applyFill="1" applyBorder="1" applyAlignment="1">
      <alignment vertical="center"/>
    </xf>
    <xf numFmtId="166" fontId="15" fillId="0" borderId="0" xfId="0" applyNumberFormat="1" applyFont="1" applyAlignment="1">
      <alignment vertical="center"/>
    </xf>
    <xf numFmtId="166" fontId="15" fillId="0" borderId="7" xfId="0" applyNumberFormat="1" applyFont="1" applyBorder="1" applyAlignment="1">
      <alignment vertical="center"/>
    </xf>
    <xf numFmtId="166" fontId="15" fillId="0" borderId="6" xfId="0" applyNumberFormat="1" applyFont="1" applyBorder="1" applyAlignment="1">
      <alignment vertical="center"/>
    </xf>
    <xf numFmtId="0" fontId="13" fillId="0" borderId="5" xfId="0" applyFont="1" applyBorder="1" applyAlignment="1">
      <alignment vertical="center" wrapText="1"/>
    </xf>
    <xf numFmtId="49" fontId="15" fillId="0" borderId="5" xfId="0" applyNumberFormat="1" applyFont="1" applyBorder="1" applyAlignment="1">
      <alignment vertical="center"/>
    </xf>
    <xf numFmtId="0" fontId="13" fillId="0" borderId="5" xfId="0" applyFont="1" applyBorder="1" applyAlignment="1">
      <alignment horizontal="center" vertical="center"/>
    </xf>
    <xf numFmtId="165" fontId="15" fillId="0" borderId="0" xfId="0" applyNumberFormat="1" applyFont="1" applyAlignment="1">
      <alignment vertical="center"/>
    </xf>
    <xf numFmtId="165" fontId="15" fillId="0" borderId="7" xfId="0" applyNumberFormat="1" applyFont="1" applyBorder="1" applyAlignment="1">
      <alignment vertical="center"/>
    </xf>
    <xf numFmtId="165" fontId="15" fillId="0" borderId="6" xfId="0" applyNumberFormat="1" applyFont="1" applyBorder="1" applyAlignment="1">
      <alignment vertical="center"/>
    </xf>
    <xf numFmtId="0" fontId="7" fillId="8" borderId="6" xfId="0" applyFont="1" applyFill="1" applyBorder="1" applyAlignment="1">
      <alignment vertical="center"/>
    </xf>
    <xf numFmtId="165" fontId="7" fillId="0" borderId="0" xfId="0" applyNumberFormat="1" applyFont="1" applyAlignment="1">
      <alignment vertical="center"/>
    </xf>
    <xf numFmtId="165" fontId="7" fillId="0" borderId="7" xfId="0" applyNumberFormat="1" applyFont="1" applyBorder="1" applyAlignment="1">
      <alignment vertical="center"/>
    </xf>
    <xf numFmtId="49" fontId="3" fillId="0" borderId="5" xfId="0" applyNumberFormat="1" applyFont="1" applyBorder="1" applyAlignment="1">
      <alignment vertical="center"/>
    </xf>
    <xf numFmtId="165" fontId="3" fillId="0" borderId="0" xfId="0" applyNumberFormat="1" applyFont="1" applyAlignment="1">
      <alignment vertical="center"/>
    </xf>
    <xf numFmtId="165" fontId="3" fillId="0" borderId="7" xfId="0" applyNumberFormat="1" applyFont="1" applyBorder="1" applyAlignment="1">
      <alignment vertical="center"/>
    </xf>
    <xf numFmtId="165" fontId="3" fillId="0" borderId="6" xfId="0" applyNumberFormat="1" applyFont="1" applyBorder="1" applyAlignment="1">
      <alignment vertical="center"/>
    </xf>
    <xf numFmtId="0" fontId="10" fillId="0" borderId="0" xfId="0" applyFont="1" applyAlignment="1">
      <alignment vertical="center"/>
    </xf>
    <xf numFmtId="49" fontId="10" fillId="0" borderId="5" xfId="0" applyNumberFormat="1" applyFont="1" applyBorder="1" applyAlignment="1">
      <alignment vertical="center"/>
    </xf>
    <xf numFmtId="0" fontId="10" fillId="0" borderId="5" xfId="0" applyFont="1" applyBorder="1" applyAlignment="1">
      <alignment horizontal="center" vertical="center"/>
    </xf>
    <xf numFmtId="0" fontId="10" fillId="8" borderId="6" xfId="0" applyFont="1" applyFill="1" applyBorder="1" applyAlignment="1">
      <alignment vertical="center"/>
    </xf>
    <xf numFmtId="165" fontId="10" fillId="0" borderId="0" xfId="0" applyNumberFormat="1" applyFont="1" applyAlignment="1">
      <alignment vertical="center"/>
    </xf>
    <xf numFmtId="165" fontId="10" fillId="0" borderId="7" xfId="0" applyNumberFormat="1" applyFont="1" applyBorder="1" applyAlignment="1">
      <alignment vertical="center"/>
    </xf>
    <xf numFmtId="166" fontId="10" fillId="0" borderId="6" xfId="0" applyNumberFormat="1" applyFont="1" applyBorder="1" applyAlignment="1">
      <alignment vertical="center"/>
    </xf>
    <xf numFmtId="166" fontId="10" fillId="0" borderId="0" xfId="0" applyNumberFormat="1" applyFont="1" applyAlignment="1">
      <alignment vertical="center"/>
    </xf>
    <xf numFmtId="166" fontId="10" fillId="0" borderId="7" xfId="0" applyNumberFormat="1" applyFont="1" applyBorder="1" applyAlignment="1">
      <alignment vertical="center"/>
    </xf>
    <xf numFmtId="0" fontId="10" fillId="0" borderId="5" xfId="0" applyFont="1" applyBorder="1" applyAlignment="1">
      <alignment vertical="center" wrapText="1"/>
    </xf>
    <xf numFmtId="0" fontId="12" fillId="8" borderId="6" xfId="0" applyFont="1" applyFill="1" applyBorder="1" applyAlignment="1">
      <alignment vertical="center"/>
    </xf>
    <xf numFmtId="165" fontId="12" fillId="0" borderId="0" xfId="0" applyNumberFormat="1" applyFont="1" applyAlignment="1">
      <alignment vertical="center"/>
    </xf>
    <xf numFmtId="165" fontId="12" fillId="0" borderId="7" xfId="0" applyNumberFormat="1" applyFont="1" applyBorder="1" applyAlignment="1">
      <alignment vertical="center"/>
    </xf>
    <xf numFmtId="0" fontId="12" fillId="0" borderId="6" xfId="0" applyFont="1" applyBorder="1" applyAlignment="1">
      <alignment vertical="center"/>
    </xf>
    <xf numFmtId="0" fontId="12" fillId="0" borderId="0" xfId="0" applyFont="1" applyAlignment="1">
      <alignment vertical="center"/>
    </xf>
    <xf numFmtId="0" fontId="12" fillId="0" borderId="7" xfId="0" applyFont="1" applyBorder="1" applyAlignment="1">
      <alignment vertical="center"/>
    </xf>
    <xf numFmtId="0" fontId="12" fillId="0" borderId="5" xfId="0" applyFont="1" applyBorder="1" applyAlignment="1">
      <alignment vertical="center" wrapText="1"/>
    </xf>
    <xf numFmtId="0" fontId="3" fillId="0" borderId="5" xfId="0" applyFont="1" applyBorder="1" applyAlignment="1">
      <alignment vertical="center" wrapText="1"/>
    </xf>
    <xf numFmtId="0" fontId="11" fillId="0" borderId="0" xfId="0" applyFont="1" applyAlignment="1">
      <alignment vertical="center"/>
    </xf>
    <xf numFmtId="49" fontId="2" fillId="0" borderId="5" xfId="0" applyNumberFormat="1" applyFont="1" applyBorder="1" applyAlignment="1">
      <alignment vertical="center"/>
    </xf>
    <xf numFmtId="0" fontId="11" fillId="0" borderId="5" xfId="0" applyFont="1" applyBorder="1" applyAlignment="1">
      <alignment horizontal="center" vertical="center"/>
    </xf>
    <xf numFmtId="165" fontId="2" fillId="0" borderId="0" xfId="0" applyNumberFormat="1" applyFont="1" applyAlignment="1">
      <alignment vertical="center"/>
    </xf>
    <xf numFmtId="165" fontId="2" fillId="0" borderId="7" xfId="0" applyNumberFormat="1" applyFont="1" applyBorder="1" applyAlignment="1">
      <alignment vertical="center"/>
    </xf>
    <xf numFmtId="165" fontId="2" fillId="0" borderId="6" xfId="0" applyNumberFormat="1" applyFont="1" applyBorder="1" applyAlignment="1">
      <alignment vertical="center"/>
    </xf>
    <xf numFmtId="0" fontId="11" fillId="0" borderId="5" xfId="0" applyFont="1" applyBorder="1" applyAlignment="1">
      <alignment vertical="center" wrapText="1"/>
    </xf>
    <xf numFmtId="0" fontId="11" fillId="7" borderId="0" xfId="0" applyFont="1" applyFill="1" applyAlignment="1">
      <alignment vertical="center"/>
    </xf>
    <xf numFmtId="49" fontId="16" fillId="7" borderId="5" xfId="0" applyNumberFormat="1" applyFont="1" applyFill="1" applyBorder="1" applyAlignment="1">
      <alignment horizontal="left" vertical="center"/>
    </xf>
    <xf numFmtId="0" fontId="22" fillId="7" borderId="5" xfId="0" applyFont="1" applyFill="1" applyBorder="1" applyAlignment="1">
      <alignment horizontal="center" vertical="center"/>
    </xf>
    <xf numFmtId="165" fontId="16" fillId="7" borderId="0" xfId="0" applyNumberFormat="1" applyFont="1" applyFill="1" applyAlignment="1">
      <alignment vertical="center"/>
    </xf>
    <xf numFmtId="165" fontId="16" fillId="7" borderId="7" xfId="0" applyNumberFormat="1" applyFont="1" applyFill="1" applyBorder="1" applyAlignment="1">
      <alignment vertical="center"/>
    </xf>
    <xf numFmtId="165" fontId="16" fillId="7" borderId="6" xfId="0" applyNumberFormat="1" applyFont="1" applyFill="1" applyBorder="1" applyAlignment="1">
      <alignment vertical="center"/>
    </xf>
    <xf numFmtId="0" fontId="11" fillId="0" borderId="0" xfId="0" applyFont="1" applyAlignment="1">
      <alignment vertical="center" wrapText="1"/>
    </xf>
    <xf numFmtId="0" fontId="11" fillId="7" borderId="5" xfId="0" applyFont="1" applyFill="1" applyBorder="1" applyAlignment="1">
      <alignment vertical="center" wrapText="1"/>
    </xf>
    <xf numFmtId="166" fontId="3" fillId="0" borderId="6" xfId="0" applyNumberFormat="1" applyFont="1" applyBorder="1" applyAlignment="1">
      <alignment vertical="center"/>
    </xf>
    <xf numFmtId="166" fontId="3" fillId="0" borderId="0" xfId="0" applyNumberFormat="1" applyFont="1" applyAlignment="1">
      <alignment vertical="center"/>
    </xf>
    <xf numFmtId="166" fontId="3" fillId="0" borderId="7" xfId="0" applyNumberFormat="1" applyFont="1" applyBorder="1" applyAlignment="1">
      <alignment vertical="center"/>
    </xf>
    <xf numFmtId="49" fontId="12" fillId="0" borderId="5" xfId="0" applyNumberFormat="1" applyFont="1" applyBorder="1" applyAlignment="1">
      <alignment vertical="center"/>
    </xf>
    <xf numFmtId="0" fontId="12" fillId="0" borderId="5" xfId="0" applyFont="1" applyBorder="1" applyAlignment="1">
      <alignment horizontal="center" vertical="center"/>
    </xf>
    <xf numFmtId="10" fontId="13" fillId="0" borderId="0" xfId="0" applyNumberFormat="1" applyFont="1" applyAlignment="1">
      <alignment vertical="center"/>
    </xf>
    <xf numFmtId="10" fontId="15" fillId="0" borderId="5" xfId="0" applyNumberFormat="1" applyFont="1" applyBorder="1" applyAlignment="1">
      <alignment horizontal="center" vertical="center"/>
    </xf>
    <xf numFmtId="10" fontId="13" fillId="8" borderId="6" xfId="0" applyNumberFormat="1" applyFont="1" applyFill="1" applyBorder="1" applyAlignment="1">
      <alignment vertical="center"/>
    </xf>
    <xf numFmtId="10" fontId="15" fillId="0" borderId="0" xfId="0" applyNumberFormat="1" applyFont="1" applyAlignment="1">
      <alignment vertical="center"/>
    </xf>
    <xf numFmtId="10" fontId="15" fillId="0" borderId="7" xfId="0" applyNumberFormat="1" applyFont="1" applyBorder="1" applyAlignment="1">
      <alignment vertical="center"/>
    </xf>
    <xf numFmtId="10" fontId="15" fillId="0" borderId="6" xfId="0" applyNumberFormat="1" applyFont="1" applyBorder="1" applyAlignment="1">
      <alignment vertical="center"/>
    </xf>
    <xf numFmtId="10" fontId="15" fillId="0" borderId="5" xfId="0" applyNumberFormat="1" applyFont="1" applyBorder="1" applyAlignment="1">
      <alignment vertical="center" wrapText="1"/>
    </xf>
    <xf numFmtId="10" fontId="7" fillId="0" borderId="0" xfId="0" applyNumberFormat="1" applyFont="1" applyAlignment="1">
      <alignment vertical="center"/>
    </xf>
    <xf numFmtId="49" fontId="13" fillId="0" borderId="5" xfId="0" applyNumberFormat="1" applyFont="1" applyBorder="1" applyAlignment="1">
      <alignment vertical="center"/>
    </xf>
    <xf numFmtId="10" fontId="13" fillId="0" borderId="5" xfId="0" applyNumberFormat="1" applyFont="1" applyBorder="1" applyAlignment="1">
      <alignment horizontal="center" vertical="center"/>
    </xf>
    <xf numFmtId="10" fontId="7" fillId="8" borderId="6" xfId="0" applyNumberFormat="1" applyFont="1" applyFill="1" applyBorder="1" applyAlignment="1">
      <alignment vertical="center"/>
    </xf>
    <xf numFmtId="10" fontId="7" fillId="0" borderId="7" xfId="0" applyNumberFormat="1" applyFont="1" applyBorder="1" applyAlignment="1">
      <alignment vertical="center"/>
    </xf>
    <xf numFmtId="10" fontId="7" fillId="0" borderId="6" xfId="0" applyNumberFormat="1" applyFont="1" applyBorder="1" applyAlignment="1">
      <alignment vertical="center"/>
    </xf>
    <xf numFmtId="10" fontId="7" fillId="0" borderId="5" xfId="0" applyNumberFormat="1" applyFont="1" applyBorder="1" applyAlignment="1">
      <alignment vertical="center" wrapText="1"/>
    </xf>
    <xf numFmtId="166" fontId="7" fillId="0" borderId="0" xfId="0" applyNumberFormat="1" applyFont="1" applyAlignment="1">
      <alignment vertical="center"/>
    </xf>
    <xf numFmtId="166" fontId="7" fillId="0" borderId="5" xfId="0" applyNumberFormat="1" applyFont="1" applyBorder="1" applyAlignment="1">
      <alignment horizontal="center" vertical="center"/>
    </xf>
    <xf numFmtId="166" fontId="7" fillId="8" borderId="6" xfId="0" applyNumberFormat="1" applyFont="1" applyFill="1" applyBorder="1" applyAlignment="1">
      <alignment vertical="center"/>
    </xf>
    <xf numFmtId="166" fontId="7" fillId="0" borderId="5" xfId="0" applyNumberFormat="1" applyFont="1" applyBorder="1" applyAlignment="1">
      <alignment vertical="center" wrapText="1"/>
    </xf>
    <xf numFmtId="165" fontId="2" fillId="7" borderId="0" xfId="0" applyNumberFormat="1" applyFont="1" applyFill="1" applyAlignment="1">
      <alignment vertical="center"/>
    </xf>
    <xf numFmtId="165" fontId="2" fillId="7" borderId="7" xfId="0" applyNumberFormat="1" applyFont="1" applyFill="1" applyBorder="1" applyAlignment="1">
      <alignment vertical="center"/>
    </xf>
    <xf numFmtId="165" fontId="2" fillId="7" borderId="6" xfId="0" applyNumberFormat="1" applyFont="1" applyFill="1" applyBorder="1" applyAlignment="1">
      <alignment vertical="center"/>
    </xf>
    <xf numFmtId="165" fontId="11" fillId="0" borderId="0" xfId="0" applyNumberFormat="1" applyFont="1" applyAlignment="1">
      <alignment vertical="center"/>
    </xf>
    <xf numFmtId="165" fontId="11" fillId="0" borderId="7" xfId="0" applyNumberFormat="1"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8" borderId="6" xfId="0" applyFont="1" applyFill="1" applyBorder="1" applyAlignment="1">
      <alignment vertical="center"/>
    </xf>
    <xf numFmtId="0" fontId="0" fillId="0" borderId="8" xfId="0" applyBorder="1"/>
    <xf numFmtId="0" fontId="11" fillId="8" borderId="9" xfId="0" applyFont="1" applyFill="1" applyBorder="1" applyAlignment="1">
      <alignment vertical="center"/>
    </xf>
    <xf numFmtId="165" fontId="7" fillId="0" borderId="10" xfId="0" applyNumberFormat="1" applyFont="1" applyBorder="1" applyAlignment="1">
      <alignment vertical="center"/>
    </xf>
    <xf numFmtId="165" fontId="7" fillId="0" borderId="11" xfId="0" applyNumberFormat="1" applyFont="1" applyBorder="1" applyAlignment="1">
      <alignment vertical="center"/>
    </xf>
    <xf numFmtId="0" fontId="0" fillId="0" borderId="9" xfId="0" applyBorder="1"/>
    <xf numFmtId="0" fontId="0" fillId="0" borderId="10" xfId="0" applyBorder="1"/>
    <xf numFmtId="0" fontId="0" fillId="0" borderId="11" xfId="0" applyBorder="1"/>
    <xf numFmtId="0" fontId="11" fillId="8" borderId="2" xfId="0" applyFont="1" applyFill="1" applyBorder="1" applyAlignment="1">
      <alignment vertical="center"/>
    </xf>
    <xf numFmtId="49" fontId="11" fillId="0" borderId="5" xfId="0" applyNumberFormat="1" applyFont="1" applyBorder="1" applyAlignment="1">
      <alignment vertical="center"/>
    </xf>
    <xf numFmtId="0" fontId="3" fillId="0" borderId="5" xfId="0" applyFont="1" applyBorder="1" applyAlignment="1">
      <alignment horizontal="center" vertical="center"/>
    </xf>
    <xf numFmtId="166" fontId="2" fillId="0" borderId="0" xfId="0" applyNumberFormat="1" applyFont="1" applyAlignment="1">
      <alignment vertical="center"/>
    </xf>
    <xf numFmtId="166" fontId="2" fillId="0" borderId="7" xfId="0" applyNumberFormat="1" applyFont="1" applyBorder="1" applyAlignment="1">
      <alignment vertical="center"/>
    </xf>
    <xf numFmtId="166" fontId="2" fillId="0" borderId="6" xfId="0" applyNumberFormat="1" applyFont="1" applyBorder="1" applyAlignment="1">
      <alignment vertical="center"/>
    </xf>
    <xf numFmtId="166" fontId="11" fillId="0" borderId="0" xfId="0" applyNumberFormat="1" applyFont="1" applyAlignment="1">
      <alignment vertical="center"/>
    </xf>
    <xf numFmtId="0" fontId="3" fillId="0" borderId="5" xfId="0" applyFont="1" applyBorder="1" applyAlignment="1">
      <alignment wrapText="1"/>
    </xf>
    <xf numFmtId="166" fontId="2" fillId="7" borderId="0" xfId="0" applyNumberFormat="1" applyFont="1" applyFill="1" applyAlignment="1">
      <alignment vertical="center"/>
    </xf>
    <xf numFmtId="166" fontId="2" fillId="7" borderId="7" xfId="0" applyNumberFormat="1" applyFont="1" applyFill="1" applyBorder="1" applyAlignment="1">
      <alignment vertical="center"/>
    </xf>
    <xf numFmtId="166" fontId="2" fillId="7" borderId="6" xfId="0" applyNumberFormat="1" applyFont="1" applyFill="1" applyBorder="1" applyAlignment="1">
      <alignment vertical="center"/>
    </xf>
    <xf numFmtId="166" fontId="7" fillId="0" borderId="7" xfId="0" applyNumberFormat="1" applyFont="1" applyBorder="1" applyAlignment="1">
      <alignment vertical="center"/>
    </xf>
    <xf numFmtId="166" fontId="7" fillId="0" borderId="6" xfId="0" applyNumberFormat="1" applyFont="1" applyBorder="1" applyAlignment="1">
      <alignment vertical="center"/>
    </xf>
    <xf numFmtId="1" fontId="7" fillId="0" borderId="0" xfId="0" applyNumberFormat="1" applyFont="1" applyAlignment="1">
      <alignment vertical="center"/>
    </xf>
    <xf numFmtId="1" fontId="15" fillId="0" borderId="5" xfId="0" applyNumberFormat="1" applyFont="1" applyBorder="1" applyAlignment="1">
      <alignment horizontal="center" vertical="center"/>
    </xf>
    <xf numFmtId="1" fontId="3" fillId="0" borderId="0" xfId="0" applyNumberFormat="1" applyFont="1" applyAlignment="1">
      <alignment vertical="center"/>
    </xf>
    <xf numFmtId="1" fontId="3" fillId="0" borderId="7" xfId="0" applyNumberFormat="1" applyFont="1" applyBorder="1" applyAlignment="1">
      <alignment vertical="center"/>
    </xf>
    <xf numFmtId="1" fontId="3" fillId="0" borderId="6" xfId="0" applyNumberFormat="1" applyFont="1" applyBorder="1" applyAlignment="1">
      <alignment vertical="center"/>
    </xf>
    <xf numFmtId="1" fontId="7" fillId="0" borderId="5" xfId="0" applyNumberFormat="1" applyFont="1" applyBorder="1" applyAlignment="1">
      <alignment vertical="center" wrapText="1"/>
    </xf>
    <xf numFmtId="49" fontId="3" fillId="0" borderId="1" xfId="0" applyNumberFormat="1" applyFont="1" applyBorder="1" applyAlignment="1">
      <alignment vertical="center"/>
    </xf>
    <xf numFmtId="0" fontId="7" fillId="0" borderId="1" xfId="0" applyFont="1" applyBorder="1" applyAlignment="1">
      <alignment horizontal="center" vertical="center"/>
    </xf>
    <xf numFmtId="1" fontId="7" fillId="8" borderId="2" xfId="0" applyNumberFormat="1" applyFont="1" applyFill="1" applyBorder="1" applyAlignment="1">
      <alignment vertical="center"/>
    </xf>
    <xf numFmtId="166" fontId="3" fillId="0" borderId="3" xfId="0" applyNumberFormat="1" applyFont="1" applyBorder="1" applyAlignment="1">
      <alignment vertical="center"/>
    </xf>
    <xf numFmtId="166" fontId="3" fillId="0" borderId="4" xfId="0" applyNumberFormat="1" applyFont="1" applyBorder="1" applyAlignment="1">
      <alignment vertical="center"/>
    </xf>
    <xf numFmtId="166" fontId="3" fillId="0" borderId="2" xfId="0" applyNumberFormat="1" applyFont="1" applyBorder="1" applyAlignment="1">
      <alignment vertical="center"/>
    </xf>
    <xf numFmtId="1" fontId="7" fillId="0" borderId="3" xfId="0" applyNumberFormat="1" applyFont="1" applyBorder="1" applyAlignment="1">
      <alignment vertical="center"/>
    </xf>
    <xf numFmtId="1" fontId="7" fillId="0" borderId="1" xfId="0" applyNumberFormat="1" applyFont="1" applyBorder="1" applyAlignment="1">
      <alignment vertical="center" wrapText="1"/>
    </xf>
    <xf numFmtId="49" fontId="3" fillId="0" borderId="5" xfId="0" applyNumberFormat="1" applyFont="1" applyBorder="1" applyAlignment="1">
      <alignment horizontal="left" vertical="center"/>
    </xf>
    <xf numFmtId="0" fontId="7" fillId="0" borderId="5" xfId="0" applyFont="1" applyBorder="1" applyAlignment="1">
      <alignment vertical="center" wrapText="1"/>
    </xf>
    <xf numFmtId="49" fontId="15" fillId="0" borderId="5" xfId="0" applyNumberFormat="1" applyFont="1" applyBorder="1" applyAlignment="1">
      <alignment horizontal="left" vertical="center"/>
    </xf>
    <xf numFmtId="0" fontId="15" fillId="0" borderId="5" xfId="0" applyFont="1" applyBorder="1" applyAlignment="1">
      <alignment horizontal="center" vertical="center"/>
    </xf>
    <xf numFmtId="0" fontId="13" fillId="8" borderId="6" xfId="0" applyFont="1" applyFill="1" applyBorder="1" applyAlignment="1">
      <alignment vertical="center"/>
    </xf>
    <xf numFmtId="0" fontId="15" fillId="0" borderId="5" xfId="0" applyFont="1" applyBorder="1" applyAlignment="1">
      <alignment vertical="center" wrapText="1"/>
    </xf>
    <xf numFmtId="49" fontId="15" fillId="0" borderId="8" xfId="0" applyNumberFormat="1" applyFont="1" applyBorder="1" applyAlignment="1">
      <alignment vertical="center"/>
    </xf>
    <xf numFmtId="1" fontId="15" fillId="0" borderId="8" xfId="0" applyNumberFormat="1" applyFont="1" applyBorder="1" applyAlignment="1">
      <alignment horizontal="center" vertical="center"/>
    </xf>
    <xf numFmtId="1" fontId="7" fillId="8" borderId="9" xfId="0" applyNumberFormat="1" applyFont="1" applyFill="1" applyBorder="1" applyAlignment="1">
      <alignment vertical="center"/>
    </xf>
    <xf numFmtId="1" fontId="3" fillId="0" borderId="10" xfId="0" applyNumberFormat="1" applyFont="1" applyBorder="1" applyAlignment="1">
      <alignment vertical="center"/>
    </xf>
    <xf numFmtId="1" fontId="3" fillId="0" borderId="11" xfId="0" applyNumberFormat="1" applyFont="1" applyBorder="1" applyAlignment="1">
      <alignment vertical="center"/>
    </xf>
    <xf numFmtId="1" fontId="3" fillId="0" borderId="9" xfId="0" applyNumberFormat="1" applyFont="1" applyBorder="1" applyAlignment="1">
      <alignment vertical="center"/>
    </xf>
    <xf numFmtId="1" fontId="7" fillId="0" borderId="10" xfId="0" applyNumberFormat="1" applyFont="1" applyBorder="1" applyAlignment="1">
      <alignment vertical="center"/>
    </xf>
    <xf numFmtId="1" fontId="3" fillId="0" borderId="8" xfId="0" applyNumberFormat="1" applyFont="1" applyBorder="1" applyAlignment="1">
      <alignment vertical="center" wrapText="1"/>
    </xf>
    <xf numFmtId="1" fontId="7" fillId="8" borderId="6" xfId="0" applyNumberFormat="1" applyFont="1" applyFill="1" applyBorder="1" applyAlignment="1">
      <alignment vertical="center"/>
    </xf>
    <xf numFmtId="1" fontId="3" fillId="0" borderId="5" xfId="0" applyNumberFormat="1" applyFont="1" applyBorder="1" applyAlignment="1">
      <alignment vertical="center" wrapText="1"/>
    </xf>
    <xf numFmtId="1" fontId="7" fillId="0" borderId="5" xfId="0" applyNumberFormat="1" applyFont="1" applyBorder="1" applyAlignment="1">
      <alignment horizontal="center" vertical="center"/>
    </xf>
    <xf numFmtId="1" fontId="7" fillId="0" borderId="7" xfId="0" applyNumberFormat="1" applyFont="1" applyBorder="1" applyAlignment="1">
      <alignment vertical="center"/>
    </xf>
    <xf numFmtId="1" fontId="7" fillId="0" borderId="6" xfId="0" applyNumberFormat="1" applyFont="1" applyBorder="1" applyAlignment="1">
      <alignment vertical="center"/>
    </xf>
    <xf numFmtId="1" fontId="11" fillId="0" borderId="0" xfId="0" applyNumberFormat="1" applyFont="1" applyAlignment="1">
      <alignment vertical="center"/>
    </xf>
    <xf numFmtId="1" fontId="11" fillId="0" borderId="5" xfId="0" applyNumberFormat="1" applyFont="1" applyBorder="1" applyAlignment="1">
      <alignment horizontal="center" vertical="center"/>
    </xf>
    <xf numFmtId="1" fontId="11" fillId="8" borderId="6" xfId="0" applyNumberFormat="1" applyFont="1" applyFill="1" applyBorder="1" applyAlignment="1">
      <alignment vertical="center"/>
    </xf>
    <xf numFmtId="1" fontId="11" fillId="0" borderId="5" xfId="0" applyNumberFormat="1" applyFont="1" applyBorder="1" applyAlignment="1">
      <alignment vertical="center" wrapText="1"/>
    </xf>
    <xf numFmtId="1" fontId="3" fillId="0" borderId="5" xfId="0" applyNumberFormat="1" applyFont="1" applyBorder="1" applyAlignment="1">
      <alignment horizontal="center" vertical="center" wrapText="1"/>
    </xf>
    <xf numFmtId="170" fontId="3" fillId="0" borderId="0" xfId="0" applyNumberFormat="1" applyFont="1" applyAlignment="1">
      <alignment vertical="center"/>
    </xf>
    <xf numFmtId="170" fontId="3" fillId="0" borderId="7" xfId="0" applyNumberFormat="1" applyFont="1" applyBorder="1" applyAlignment="1">
      <alignment vertical="center"/>
    </xf>
    <xf numFmtId="170" fontId="3" fillId="0" borderId="6" xfId="0" applyNumberFormat="1" applyFont="1" applyBorder="1" applyAlignment="1">
      <alignment vertical="center"/>
    </xf>
    <xf numFmtId="1" fontId="22" fillId="0" borderId="5" xfId="0" applyNumberFormat="1" applyFont="1" applyBorder="1" applyAlignment="1">
      <alignment horizontal="center" vertical="center"/>
    </xf>
    <xf numFmtId="49" fontId="22" fillId="0" borderId="8" xfId="0" applyNumberFormat="1" applyFont="1" applyBorder="1" applyAlignment="1">
      <alignment vertical="center"/>
    </xf>
    <xf numFmtId="0" fontId="22" fillId="0" borderId="8" xfId="0" applyFont="1" applyBorder="1" applyAlignment="1">
      <alignment horizontal="center"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9" xfId="0" applyFont="1" applyBorder="1" applyAlignment="1">
      <alignment vertical="center"/>
    </xf>
    <xf numFmtId="0" fontId="11" fillId="0" borderId="8" xfId="0" applyFont="1" applyBorder="1" applyAlignment="1">
      <alignment vertical="center" wrapText="1"/>
    </xf>
    <xf numFmtId="0" fontId="7" fillId="8" borderId="2" xfId="0" applyFont="1" applyFill="1" applyBorder="1" applyAlignment="1">
      <alignment vertical="center"/>
    </xf>
    <xf numFmtId="49" fontId="2" fillId="0" borderId="5" xfId="0" applyNumberFormat="1" applyFont="1" applyBorder="1" applyAlignment="1">
      <alignment vertical="center" wrapText="1"/>
    </xf>
    <xf numFmtId="0" fontId="11" fillId="0" borderId="5" xfId="0" applyFont="1" applyBorder="1" applyAlignment="1">
      <alignment horizontal="center" vertical="center" wrapText="1"/>
    </xf>
    <xf numFmtId="49" fontId="3" fillId="0" borderId="5" xfId="0" applyNumberFormat="1" applyFont="1" applyBorder="1" applyAlignment="1">
      <alignment vertical="center" wrapText="1"/>
    </xf>
    <xf numFmtId="0" fontId="7" fillId="0" borderId="5" xfId="0" applyFont="1" applyBorder="1" applyAlignment="1">
      <alignment horizontal="center" vertical="center" wrapText="1"/>
    </xf>
    <xf numFmtId="0" fontId="3" fillId="0" borderId="5" xfId="0" applyFont="1" applyBorder="1" applyAlignment="1">
      <alignment horizontal="center" vertical="center" wrapText="1"/>
    </xf>
    <xf numFmtId="49" fontId="7" fillId="0" borderId="5" xfId="0" applyNumberFormat="1" applyFont="1" applyBorder="1" applyAlignment="1">
      <alignment vertical="center" wrapText="1"/>
    </xf>
    <xf numFmtId="49" fontId="11" fillId="0" borderId="5" xfId="0" applyNumberFormat="1" applyFont="1" applyBorder="1" applyAlignment="1">
      <alignment vertical="center" wrapText="1"/>
    </xf>
    <xf numFmtId="49" fontId="15" fillId="0" borderId="5" xfId="0" applyNumberFormat="1" applyFont="1" applyBorder="1" applyAlignment="1">
      <alignment vertical="center" wrapText="1"/>
    </xf>
    <xf numFmtId="10" fontId="23" fillId="0" borderId="0" xfId="0" applyNumberFormat="1" applyFont="1" applyAlignment="1">
      <alignment vertical="center"/>
    </xf>
    <xf numFmtId="10" fontId="23" fillId="0" borderId="7" xfId="0" applyNumberFormat="1" applyFont="1" applyBorder="1" applyAlignment="1">
      <alignment vertical="center"/>
    </xf>
    <xf numFmtId="10" fontId="23" fillId="0" borderId="6" xfId="0" applyNumberFormat="1" applyFont="1" applyBorder="1" applyAlignment="1">
      <alignment vertical="center"/>
    </xf>
    <xf numFmtId="49" fontId="22" fillId="0" borderId="5" xfId="0" applyNumberFormat="1" applyFont="1" applyBorder="1" applyAlignment="1">
      <alignment horizontal="left" vertical="center"/>
    </xf>
    <xf numFmtId="166" fontId="11" fillId="0" borderId="7" xfId="0" applyNumberFormat="1" applyFont="1" applyBorder="1" applyAlignment="1">
      <alignment vertical="center"/>
    </xf>
    <xf numFmtId="166" fontId="11" fillId="0" borderId="6" xfId="0" applyNumberFormat="1" applyFont="1" applyBorder="1" applyAlignment="1">
      <alignment vertical="center"/>
    </xf>
    <xf numFmtId="10" fontId="24" fillId="0" borderId="0" xfId="0" applyNumberFormat="1" applyFont="1"/>
    <xf numFmtId="10" fontId="24" fillId="0" borderId="7" xfId="0" applyNumberFormat="1" applyFont="1" applyBorder="1"/>
    <xf numFmtId="10" fontId="24" fillId="0" borderId="6" xfId="0" applyNumberFormat="1" applyFont="1" applyBorder="1"/>
    <xf numFmtId="166" fontId="7" fillId="8" borderId="9" xfId="0" applyNumberFormat="1" applyFont="1" applyFill="1" applyBorder="1" applyAlignment="1">
      <alignment vertical="center"/>
    </xf>
    <xf numFmtId="166" fontId="7" fillId="8" borderId="2" xfId="0" applyNumberFormat="1" applyFont="1" applyFill="1" applyBorder="1" applyAlignment="1">
      <alignment vertical="center"/>
    </xf>
    <xf numFmtId="9" fontId="3" fillId="0" borderId="0" xfId="0" applyNumberFormat="1" applyFont="1" applyAlignment="1">
      <alignment vertical="center"/>
    </xf>
    <xf numFmtId="9" fontId="3" fillId="0" borderId="7" xfId="0" applyNumberFormat="1" applyFont="1" applyBorder="1" applyAlignment="1">
      <alignment vertical="center"/>
    </xf>
    <xf numFmtId="9" fontId="3" fillId="0" borderId="6" xfId="0" applyNumberFormat="1" applyFont="1" applyBorder="1" applyAlignment="1">
      <alignment vertical="center"/>
    </xf>
    <xf numFmtId="10" fontId="3" fillId="0" borderId="0" xfId="0" applyNumberFormat="1" applyFont="1" applyAlignment="1">
      <alignment vertical="center"/>
    </xf>
    <xf numFmtId="10" fontId="3" fillId="0" borderId="7" xfId="0" applyNumberFormat="1" applyFont="1" applyBorder="1" applyAlignment="1">
      <alignment vertical="center"/>
    </xf>
    <xf numFmtId="10" fontId="3" fillId="0" borderId="6" xfId="0" applyNumberFormat="1" applyFont="1" applyBorder="1" applyAlignment="1">
      <alignment vertical="center"/>
    </xf>
    <xf numFmtId="0" fontId="7" fillId="7" borderId="0" xfId="0" applyFont="1" applyFill="1" applyAlignment="1">
      <alignment vertical="center"/>
    </xf>
    <xf numFmtId="49" fontId="13" fillId="0" borderId="8" xfId="0" applyNumberFormat="1" applyFont="1" applyBorder="1" applyAlignment="1">
      <alignment horizontal="left" vertical="center"/>
    </xf>
    <xf numFmtId="0" fontId="13" fillId="0" borderId="8" xfId="0" applyFont="1" applyBorder="1" applyAlignment="1">
      <alignment horizontal="center" vertical="center"/>
    </xf>
    <xf numFmtId="166" fontId="11" fillId="0" borderId="10" xfId="0" applyNumberFormat="1" applyFont="1" applyBorder="1" applyAlignment="1">
      <alignment vertical="center"/>
    </xf>
    <xf numFmtId="166" fontId="11" fillId="0" borderId="11" xfId="0" applyNumberFormat="1" applyFont="1" applyBorder="1" applyAlignment="1">
      <alignment vertical="center"/>
    </xf>
    <xf numFmtId="166" fontId="11" fillId="0" borderId="9" xfId="0" applyNumberFormat="1" applyFont="1" applyBorder="1" applyAlignment="1">
      <alignment vertical="center"/>
    </xf>
    <xf numFmtId="166" fontId="13" fillId="0" borderId="0" xfId="0" applyNumberFormat="1" applyFont="1" applyAlignment="1">
      <alignment vertical="center"/>
    </xf>
    <xf numFmtId="0" fontId="15" fillId="0" borderId="5" xfId="0" applyFont="1" applyBorder="1" applyAlignment="1">
      <alignment horizontal="center" vertical="center" wrapText="1"/>
    </xf>
    <xf numFmtId="166" fontId="7" fillId="0" borderId="5" xfId="0" applyNumberFormat="1" applyFont="1" applyBorder="1" applyAlignment="1">
      <alignment horizontal="center" vertical="center" wrapText="1"/>
    </xf>
    <xf numFmtId="10" fontId="13" fillId="0" borderId="5" xfId="0" applyNumberFormat="1" applyFont="1" applyBorder="1" applyAlignment="1">
      <alignment horizontal="center" vertical="center" wrapText="1"/>
    </xf>
    <xf numFmtId="10" fontId="13" fillId="0" borderId="5" xfId="0" applyNumberFormat="1" applyFont="1" applyBorder="1" applyAlignment="1">
      <alignment vertical="center" wrapText="1"/>
    </xf>
    <xf numFmtId="0" fontId="7" fillId="0" borderId="2" xfId="0" applyFont="1" applyBorder="1" applyAlignment="1">
      <alignment vertical="center"/>
    </xf>
    <xf numFmtId="49" fontId="7" fillId="0" borderId="1" xfId="0" applyNumberFormat="1" applyFont="1" applyBorder="1" applyAlignment="1">
      <alignment vertical="center"/>
    </xf>
    <xf numFmtId="166" fontId="7" fillId="4" borderId="2" xfId="0" applyNumberFormat="1" applyFont="1" applyFill="1" applyBorder="1" applyAlignment="1">
      <alignment vertical="center"/>
    </xf>
    <xf numFmtId="166" fontId="7" fillId="0" borderId="3" xfId="0" applyNumberFormat="1" applyFont="1" applyBorder="1" applyAlignment="1">
      <alignment vertical="center"/>
    </xf>
    <xf numFmtId="166" fontId="7" fillId="0" borderId="4" xfId="0" applyNumberFormat="1" applyFont="1" applyBorder="1" applyAlignment="1">
      <alignment vertical="center"/>
    </xf>
    <xf numFmtId="166" fontId="7" fillId="0" borderId="2" xfId="0" applyNumberFormat="1" applyFont="1" applyBorder="1" applyAlignment="1">
      <alignment vertical="center"/>
    </xf>
    <xf numFmtId="0" fontId="7" fillId="0" borderId="3" xfId="0" applyFont="1" applyBorder="1" applyAlignment="1">
      <alignment vertical="center"/>
    </xf>
    <xf numFmtId="0" fontId="7" fillId="0" borderId="1" xfId="0" applyFont="1" applyBorder="1" applyAlignment="1">
      <alignment vertical="center" wrapText="1"/>
    </xf>
    <xf numFmtId="0" fontId="7" fillId="0" borderId="6" xfId="0" applyFont="1" applyBorder="1" applyAlignment="1">
      <alignment vertical="center"/>
    </xf>
    <xf numFmtId="166" fontId="7" fillId="4" borderId="6" xfId="0" applyNumberFormat="1" applyFont="1" applyFill="1" applyBorder="1" applyAlignment="1">
      <alignment vertical="center"/>
    </xf>
    <xf numFmtId="0" fontId="13" fillId="0" borderId="6" xfId="0" applyFont="1" applyBorder="1" applyAlignment="1">
      <alignment vertical="center"/>
    </xf>
    <xf numFmtId="166" fontId="13" fillId="4" borderId="6" xfId="0" applyNumberFormat="1" applyFont="1" applyFill="1" applyBorder="1" applyAlignment="1">
      <alignment vertical="center"/>
    </xf>
    <xf numFmtId="0" fontId="7" fillId="7" borderId="9" xfId="0" applyFont="1" applyFill="1" applyBorder="1" applyAlignment="1">
      <alignment vertical="center"/>
    </xf>
    <xf numFmtId="49" fontId="16" fillId="7" borderId="8" xfId="0" applyNumberFormat="1" applyFont="1" applyFill="1" applyBorder="1" applyAlignment="1">
      <alignment horizontal="left" vertical="center"/>
    </xf>
    <xf numFmtId="0" fontId="22" fillId="7" borderId="8" xfId="0" applyFont="1" applyFill="1" applyBorder="1" applyAlignment="1">
      <alignment horizontal="center" vertical="center"/>
    </xf>
    <xf numFmtId="166" fontId="2" fillId="7" borderId="10" xfId="0" applyNumberFormat="1" applyFont="1" applyFill="1" applyBorder="1" applyAlignment="1">
      <alignment vertical="center"/>
    </xf>
    <xf numFmtId="166" fontId="2" fillId="7" borderId="11" xfId="0" applyNumberFormat="1" applyFont="1" applyFill="1" applyBorder="1" applyAlignment="1">
      <alignment vertical="center"/>
    </xf>
    <xf numFmtId="166" fontId="2" fillId="7" borderId="9" xfId="0" applyNumberFormat="1" applyFont="1" applyFill="1" applyBorder="1" applyAlignment="1">
      <alignment vertical="center"/>
    </xf>
    <xf numFmtId="0" fontId="11" fillId="7" borderId="8" xfId="0" applyFont="1" applyFill="1" applyBorder="1" applyAlignment="1">
      <alignment vertical="center" wrapText="1"/>
    </xf>
    <xf numFmtId="0" fontId="7" fillId="0" borderId="0" xfId="0" applyFont="1" applyAlignment="1">
      <alignment horizontal="center" vertical="center" wrapText="1"/>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2" fillId="0" borderId="12" xfId="0" applyFont="1" applyBorder="1" applyAlignment="1">
      <alignment vertical="center"/>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164" fontId="2" fillId="0" borderId="13" xfId="0" applyNumberFormat="1" applyFont="1" applyBorder="1" applyAlignment="1">
      <alignment horizontal="center" vertical="center"/>
    </xf>
    <xf numFmtId="164" fontId="2" fillId="0" borderId="14" xfId="0" applyNumberFormat="1" applyFont="1" applyBorder="1" applyAlignment="1">
      <alignment horizontal="center" vertical="center"/>
    </xf>
    <xf numFmtId="164" fontId="2" fillId="0" borderId="15" xfId="0" applyNumberFormat="1" applyFont="1" applyBorder="1" applyAlignment="1">
      <alignment horizontal="center" vertical="center"/>
    </xf>
    <xf numFmtId="0" fontId="2" fillId="9" borderId="12" xfId="0" applyFont="1" applyFill="1" applyBorder="1" applyAlignment="1">
      <alignment vertical="center" wrapText="1"/>
    </xf>
    <xf numFmtId="0" fontId="7" fillId="0" borderId="12" xfId="0" applyFont="1" applyBorder="1" applyAlignment="1">
      <alignment vertical="center"/>
    </xf>
    <xf numFmtId="0" fontId="7" fillId="0" borderId="12" xfId="0" applyFont="1" applyBorder="1" applyAlignment="1">
      <alignment vertical="center" wrapText="1"/>
    </xf>
    <xf numFmtId="0" fontId="7" fillId="0" borderId="12" xfId="0" applyFont="1" applyBorder="1" applyAlignment="1">
      <alignment horizontal="center" vertical="center" wrapText="1"/>
    </xf>
    <xf numFmtId="0" fontId="7" fillId="0" borderId="13" xfId="0" applyFont="1" applyBorder="1" applyAlignment="1">
      <alignment vertical="center"/>
    </xf>
    <xf numFmtId="0" fontId="0" fillId="0" borderId="14" xfId="0" applyBorder="1"/>
    <xf numFmtId="0" fontId="7" fillId="0" borderId="15" xfId="0" applyFont="1" applyBorder="1" applyAlignment="1">
      <alignment vertical="center"/>
    </xf>
    <xf numFmtId="0" fontId="7" fillId="3" borderId="12" xfId="0" applyFont="1" applyFill="1" applyBorder="1" applyAlignment="1">
      <alignment vertical="center"/>
    </xf>
    <xf numFmtId="0" fontId="2" fillId="3" borderId="12" xfId="0" applyFont="1" applyFill="1" applyBorder="1" applyAlignment="1">
      <alignment vertical="center" wrapText="1"/>
    </xf>
    <xf numFmtId="0" fontId="11" fillId="3" borderId="12" xfId="0" applyFont="1" applyFill="1" applyBorder="1" applyAlignment="1">
      <alignment horizontal="center" vertical="center" wrapText="1"/>
    </xf>
    <xf numFmtId="0" fontId="7" fillId="3" borderId="13" xfId="0" applyFont="1" applyFill="1" applyBorder="1" applyAlignment="1">
      <alignment vertical="center"/>
    </xf>
    <xf numFmtId="0" fontId="7" fillId="3" borderId="14" xfId="0" applyFont="1" applyFill="1" applyBorder="1" applyAlignment="1">
      <alignment vertical="center"/>
    </xf>
    <xf numFmtId="0" fontId="7" fillId="3" borderId="15" xfId="0" applyFont="1" applyFill="1" applyBorder="1" applyAlignment="1">
      <alignment vertical="center"/>
    </xf>
    <xf numFmtId="0" fontId="7" fillId="3" borderId="12" xfId="0" applyFont="1" applyFill="1" applyBorder="1" applyAlignment="1">
      <alignment vertical="center" wrapText="1"/>
    </xf>
    <xf numFmtId="0" fontId="3" fillId="0" borderId="12" xfId="0" applyFont="1" applyBorder="1" applyAlignment="1">
      <alignment vertical="center"/>
    </xf>
    <xf numFmtId="0" fontId="3" fillId="0" borderId="12" xfId="0" applyFont="1" applyBorder="1" applyAlignment="1">
      <alignment vertical="center" wrapText="1"/>
    </xf>
    <xf numFmtId="0" fontId="3" fillId="0" borderId="12" xfId="0" applyFont="1" applyBorder="1" applyAlignment="1">
      <alignment horizontal="center" vertical="center" wrapText="1"/>
    </xf>
    <xf numFmtId="0" fontId="7" fillId="8" borderId="13" xfId="0" applyFont="1" applyFill="1" applyBorder="1" applyAlignment="1">
      <alignment vertical="center"/>
    </xf>
    <xf numFmtId="10" fontId="3" fillId="0" borderId="14" xfId="0" applyNumberFormat="1" applyFont="1" applyBorder="1" applyAlignment="1">
      <alignment vertical="center"/>
    </xf>
    <xf numFmtId="10" fontId="3" fillId="0" borderId="15" xfId="0" applyNumberFormat="1" applyFont="1" applyBorder="1" applyAlignment="1">
      <alignment vertical="center"/>
    </xf>
    <xf numFmtId="9" fontId="3" fillId="0" borderId="13" xfId="0" applyNumberFormat="1" applyFont="1" applyBorder="1" applyAlignment="1">
      <alignment vertical="center"/>
    </xf>
    <xf numFmtId="9" fontId="3" fillId="0" borderId="14" xfId="0" applyNumberFormat="1" applyFont="1" applyBorder="1" applyAlignment="1">
      <alignment vertical="center"/>
    </xf>
    <xf numFmtId="9" fontId="3" fillId="0" borderId="15" xfId="0" applyNumberFormat="1" applyFont="1" applyBorder="1" applyAlignment="1">
      <alignment vertical="center"/>
    </xf>
    <xf numFmtId="0" fontId="7" fillId="0" borderId="14" xfId="0" applyFont="1" applyBorder="1" applyAlignment="1">
      <alignment vertical="center"/>
    </xf>
    <xf numFmtId="0" fontId="7" fillId="8" borderId="14" xfId="0" applyFont="1" applyFill="1" applyBorder="1" applyAlignment="1">
      <alignment vertical="center"/>
    </xf>
    <xf numFmtId="0" fontId="7" fillId="8" borderId="15" xfId="0" applyFont="1" applyFill="1" applyBorder="1" applyAlignment="1">
      <alignment vertical="center"/>
    </xf>
    <xf numFmtId="166" fontId="3" fillId="0" borderId="13" xfId="0" applyNumberFormat="1" applyFont="1" applyBorder="1" applyAlignment="1">
      <alignment vertical="center"/>
    </xf>
    <xf numFmtId="166" fontId="3" fillId="0" borderId="14" xfId="0" applyNumberFormat="1" applyFont="1" applyBorder="1" applyAlignment="1">
      <alignment vertical="center"/>
    </xf>
    <xf numFmtId="166" fontId="3" fillId="0" borderId="15" xfId="0" applyNumberFormat="1" applyFont="1" applyBorder="1" applyAlignment="1">
      <alignment vertical="center"/>
    </xf>
    <xf numFmtId="10" fontId="3" fillId="0" borderId="13" xfId="0" applyNumberFormat="1" applyFont="1" applyBorder="1" applyAlignment="1">
      <alignment vertical="center"/>
    </xf>
    <xf numFmtId="0" fontId="7" fillId="4" borderId="13" xfId="0" applyFont="1" applyFill="1" applyBorder="1" applyAlignment="1">
      <alignment vertical="center"/>
    </xf>
    <xf numFmtId="10" fontId="24" fillId="0" borderId="14" xfId="0" applyNumberFormat="1" applyFont="1" applyBorder="1" applyAlignment="1">
      <alignment vertical="center"/>
    </xf>
    <xf numFmtId="10" fontId="24" fillId="0" borderId="15" xfId="0" applyNumberFormat="1" applyFont="1" applyBorder="1" applyAlignment="1">
      <alignment vertical="center"/>
    </xf>
    <xf numFmtId="10" fontId="24" fillId="0" borderId="13" xfId="0" applyNumberFormat="1" applyFont="1" applyBorder="1" applyAlignment="1">
      <alignment vertical="center"/>
    </xf>
    <xf numFmtId="171" fontId="3" fillId="0" borderId="12" xfId="0" applyNumberFormat="1" applyFont="1" applyBorder="1" applyAlignment="1">
      <alignment vertical="center" wrapText="1"/>
    </xf>
    <xf numFmtId="166" fontId="7" fillId="0" borderId="14" xfId="0" applyNumberFormat="1" applyFont="1" applyBorder="1" applyAlignment="1">
      <alignment vertical="center"/>
    </xf>
    <xf numFmtId="165" fontId="7" fillId="4" borderId="13" xfId="0" applyNumberFormat="1" applyFont="1" applyFill="1" applyBorder="1" applyAlignment="1">
      <alignment vertical="center"/>
    </xf>
    <xf numFmtId="166" fontId="7" fillId="0" borderId="13" xfId="0" applyNumberFormat="1" applyFont="1" applyBorder="1" applyAlignment="1">
      <alignment vertical="center"/>
    </xf>
    <xf numFmtId="166" fontId="7" fillId="0" borderId="15" xfId="0" applyNumberFormat="1" applyFont="1" applyBorder="1" applyAlignment="1">
      <alignment vertical="center"/>
    </xf>
    <xf numFmtId="166" fontId="7" fillId="4" borderId="13" xfId="0" applyNumberFormat="1" applyFont="1" applyFill="1" applyBorder="1" applyAlignment="1">
      <alignment vertical="center"/>
    </xf>
    <xf numFmtId="0" fontId="7" fillId="0" borderId="10" xfId="0" applyFont="1" applyBorder="1" applyAlignment="1">
      <alignment vertical="center"/>
    </xf>
    <xf numFmtId="0" fontId="0" fillId="0" borderId="0" xfId="0"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2" fillId="3" borderId="6" xfId="0" applyFont="1" applyFill="1" applyBorder="1" applyAlignment="1">
      <alignment vertical="center"/>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5" xfId="0" applyFont="1" applyFill="1" applyBorder="1" applyAlignment="1">
      <alignment vertical="center"/>
    </xf>
    <xf numFmtId="0" fontId="3" fillId="0" borderId="6" xfId="0" applyFont="1" applyBorder="1" applyAlignment="1">
      <alignment vertical="center"/>
    </xf>
    <xf numFmtId="166" fontId="0" fillId="4" borderId="6" xfId="0" applyNumberFormat="1" applyFill="1" applyBorder="1" applyAlignment="1">
      <alignment vertical="center"/>
    </xf>
    <xf numFmtId="0" fontId="11" fillId="0" borderId="5" xfId="0" applyFont="1" applyBorder="1" applyAlignment="1">
      <alignment vertical="center"/>
    </xf>
    <xf numFmtId="0" fontId="15" fillId="0" borderId="6" xfId="0" applyFont="1" applyBorder="1" applyAlignment="1">
      <alignment vertical="center"/>
    </xf>
    <xf numFmtId="0" fontId="15" fillId="0" borderId="9" xfId="0" applyFont="1" applyBorder="1" applyAlignment="1">
      <alignment vertical="center"/>
    </xf>
    <xf numFmtId="0" fontId="0" fillId="0" borderId="9" xfId="0" applyBorder="1" applyAlignment="1">
      <alignment vertical="center"/>
    </xf>
    <xf numFmtId="2" fontId="3" fillId="0" borderId="10" xfId="0" applyNumberFormat="1" applyFont="1" applyBorder="1" applyAlignment="1">
      <alignment vertical="center"/>
    </xf>
    <xf numFmtId="2" fontId="3" fillId="0" borderId="11" xfId="0" applyNumberFormat="1" applyFont="1" applyBorder="1" applyAlignment="1">
      <alignment vertical="center"/>
    </xf>
    <xf numFmtId="2" fontId="3" fillId="0" borderId="9" xfId="0" applyNumberFormat="1" applyFont="1" applyBorder="1" applyAlignment="1">
      <alignment vertical="center"/>
    </xf>
    <xf numFmtId="0" fontId="0" fillId="0" borderId="10" xfId="0" applyBorder="1" applyAlignment="1">
      <alignment vertical="center"/>
    </xf>
    <xf numFmtId="0" fontId="0" fillId="0" borderId="8" xfId="0" applyBorder="1" applyAlignment="1">
      <alignment vertical="center"/>
    </xf>
    <xf numFmtId="0" fontId="1" fillId="2" borderId="0" xfId="0" applyFont="1" applyFill="1"/>
    <xf numFmtId="0" fontId="2" fillId="0" borderId="14" xfId="0" applyFont="1" applyBorder="1" applyAlignment="1">
      <alignment horizontal="center" vertical="center"/>
    </xf>
    <xf numFmtId="0" fontId="12" fillId="0" borderId="0" xfId="0" applyFont="1" applyAlignment="1">
      <alignment horizontal="left" vertical="center"/>
    </xf>
    <xf numFmtId="0" fontId="3" fillId="0" borderId="14" xfId="0" applyFont="1" applyBorder="1" applyAlignment="1">
      <alignment horizontal="left" vertical="center"/>
    </xf>
    <xf numFmtId="0" fontId="19" fillId="0" borderId="14" xfId="0" applyFont="1" applyBorder="1"/>
    <xf numFmtId="0" fontId="2" fillId="3" borderId="14" xfId="0" applyFont="1" applyFill="1" applyBorder="1" applyAlignment="1">
      <alignment vertical="center"/>
    </xf>
    <xf numFmtId="0" fontId="25" fillId="3" borderId="14" xfId="0" applyFont="1" applyFill="1" applyBorder="1"/>
    <xf numFmtId="10" fontId="2" fillId="0" borderId="0" xfId="0" applyNumberFormat="1" applyFont="1" applyAlignment="1">
      <alignment horizontal="center" vertical="center"/>
    </xf>
    <xf numFmtId="49" fontId="3" fillId="0" borderId="0" xfId="0" applyNumberFormat="1" applyFont="1" applyAlignment="1">
      <alignment horizontal="center" vertical="center"/>
    </xf>
    <xf numFmtId="10" fontId="3" fillId="0" borderId="0" xfId="0" applyNumberFormat="1" applyFont="1" applyAlignment="1">
      <alignment horizontal="center" vertical="center"/>
    </xf>
    <xf numFmtId="172" fontId="3" fillId="0" borderId="0" xfId="0" applyNumberFormat="1" applyFont="1" applyAlignment="1">
      <alignment horizontal="center" vertical="center"/>
    </xf>
    <xf numFmtId="172" fontId="2" fillId="0" borderId="0" xfId="0" applyNumberFormat="1" applyFont="1" applyAlignment="1">
      <alignment horizontal="center" vertical="center"/>
    </xf>
    <xf numFmtId="172" fontId="26" fillId="0" borderId="0" xfId="0" applyNumberFormat="1" applyFont="1" applyAlignment="1">
      <alignment horizontal="center" vertical="center"/>
    </xf>
    <xf numFmtId="172" fontId="20" fillId="0" borderId="0" xfId="0" applyNumberFormat="1" applyFont="1" applyAlignment="1">
      <alignment horizontal="center" vertical="center"/>
    </xf>
    <xf numFmtId="10" fontId="20" fillId="0" borderId="0" xfId="0" applyNumberFormat="1" applyFont="1" applyAlignment="1">
      <alignment horizontal="center" vertical="center"/>
    </xf>
    <xf numFmtId="172" fontId="21" fillId="0" borderId="0" xfId="0" applyNumberFormat="1" applyFont="1" applyAlignment="1">
      <alignment horizontal="center" vertical="center"/>
    </xf>
    <xf numFmtId="10" fontId="25" fillId="3" borderId="14" xfId="0" applyNumberFormat="1" applyFont="1" applyFill="1" applyBorder="1" applyAlignment="1">
      <alignment horizontal="center" vertical="center"/>
    </xf>
    <xf numFmtId="10" fontId="21" fillId="0" borderId="0" xfId="0" applyNumberFormat="1" applyFont="1" applyAlignment="1">
      <alignment horizontal="center" vertical="center"/>
    </xf>
    <xf numFmtId="166" fontId="3" fillId="0" borderId="0" xfId="0" applyNumberFormat="1" applyFont="1" applyAlignment="1">
      <alignment horizontal="center" vertical="center"/>
    </xf>
    <xf numFmtId="166" fontId="20" fillId="0" borderId="0" xfId="0" applyNumberFormat="1" applyFont="1" applyAlignment="1">
      <alignment horizontal="center" vertical="center"/>
    </xf>
    <xf numFmtId="166" fontId="21" fillId="0" borderId="0" xfId="0" applyNumberFormat="1" applyFont="1" applyAlignment="1">
      <alignment horizontal="center" vertical="center"/>
    </xf>
    <xf numFmtId="10" fontId="25" fillId="0" borderId="0" xfId="0" applyNumberFormat="1" applyFont="1" applyAlignment="1">
      <alignment horizontal="center" vertical="center"/>
    </xf>
    <xf numFmtId="10" fontId="27" fillId="4" borderId="0" xfId="0" applyNumberFormat="1"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left" vertical="center"/>
    </xf>
    <xf numFmtId="0" fontId="2" fillId="0" borderId="0" xfId="0" applyFont="1" applyAlignment="1">
      <alignment horizontal="center" vertical="center"/>
    </xf>
    <xf numFmtId="0" fontId="6" fillId="0" borderId="0" xfId="0" applyFont="1" applyAlignment="1">
      <alignment horizontal="center" vertical="center"/>
    </xf>
    <xf numFmtId="0" fontId="2" fillId="3" borderId="14" xfId="0" applyFont="1" applyFill="1" applyBorder="1" applyAlignment="1">
      <alignment horizontal="left" vertical="center"/>
    </xf>
    <xf numFmtId="0" fontId="18" fillId="2" borderId="0" xfId="0" applyFont="1" applyFill="1" applyAlignment="1">
      <alignment horizontal="center"/>
    </xf>
    <xf numFmtId="0" fontId="19" fillId="2" borderId="0" xfId="0" applyFont="1" applyFill="1" applyAlignment="1">
      <alignment horizontal="center"/>
    </xf>
    <xf numFmtId="164" fontId="2" fillId="3" borderId="0" xfId="0" applyNumberFormat="1" applyFont="1" applyFill="1" applyAlignment="1">
      <alignment horizontal="center" vertical="center"/>
    </xf>
    <xf numFmtId="0" fontId="25" fillId="3" borderId="0" xfId="0" applyFont="1" applyFill="1"/>
    <xf numFmtId="0" fontId="2" fillId="3" borderId="14" xfId="0" applyFont="1" applyFill="1" applyBorder="1"/>
    <xf numFmtId="0" fontId="3" fillId="0" borderId="0" xfId="0" applyFont="1" applyAlignment="1">
      <alignment horizontal="center" vertical="center"/>
    </xf>
    <xf numFmtId="2" fontId="3" fillId="0" borderId="0" xfId="0" applyNumberFormat="1" applyFont="1" applyAlignment="1">
      <alignment horizontal="center" vertical="center"/>
    </xf>
    <xf numFmtId="0" fontId="2" fillId="4" borderId="0" xfId="0" applyFont="1" applyFill="1" applyAlignment="1">
      <alignment horizontal="left" vertical="center"/>
    </xf>
    <xf numFmtId="0" fontId="25" fillId="4" borderId="0" xfId="0" applyFont="1" applyFill="1"/>
    <xf numFmtId="166" fontId="21" fillId="4" borderId="0" xfId="0" applyNumberFormat="1" applyFont="1" applyFill="1" applyAlignment="1">
      <alignment horizontal="center" vertical="center"/>
    </xf>
    <xf numFmtId="0" fontId="2" fillId="0" borderId="14" xfId="0" applyFont="1" applyBorder="1" applyAlignment="1">
      <alignment horizontal="left" vertical="center"/>
    </xf>
    <xf numFmtId="0" fontId="3" fillId="0" borderId="14" xfId="0" applyFont="1" applyBorder="1" applyAlignment="1">
      <alignment horizontal="center" vertical="center"/>
    </xf>
    <xf numFmtId="166" fontId="21" fillId="0" borderId="14" xfId="0" applyNumberFormat="1" applyFont="1" applyBorder="1" applyAlignment="1">
      <alignment horizontal="center" vertical="center"/>
    </xf>
    <xf numFmtId="0" fontId="2" fillId="4" borderId="14" xfId="0" applyFont="1" applyFill="1" applyBorder="1" applyAlignment="1">
      <alignment horizontal="left" vertical="center"/>
    </xf>
    <xf numFmtId="0" fontId="3" fillId="4" borderId="14" xfId="0" applyFont="1" applyFill="1" applyBorder="1" applyAlignment="1">
      <alignment horizontal="center" vertical="center"/>
    </xf>
    <xf numFmtId="0" fontId="25" fillId="4" borderId="14" xfId="0" applyFont="1" applyFill="1" applyBorder="1"/>
    <xf numFmtId="166" fontId="21" fillId="4" borderId="14" xfId="0" applyNumberFormat="1" applyFont="1" applyFill="1" applyBorder="1" applyAlignment="1">
      <alignment horizontal="center" vertical="center"/>
    </xf>
    <xf numFmtId="2" fontId="20" fillId="0" borderId="0" xfId="0" applyNumberFormat="1" applyFont="1" applyAlignment="1">
      <alignment horizontal="center" vertical="center"/>
    </xf>
    <xf numFmtId="166" fontId="2" fillId="0" borderId="0" xfId="0" applyNumberFormat="1" applyFont="1" applyAlignment="1">
      <alignment horizontal="center" vertical="center"/>
    </xf>
    <xf numFmtId="10" fontId="21" fillId="4" borderId="0" xfId="0" applyNumberFormat="1" applyFont="1" applyFill="1" applyAlignment="1">
      <alignment horizontal="center" vertical="center"/>
    </xf>
    <xf numFmtId="0" fontId="4" fillId="0" borderId="0" xfId="0" applyFont="1" applyAlignment="1">
      <alignment horizontal="left" vertical="center" wrapText="1"/>
    </xf>
    <xf numFmtId="4" fontId="21" fillId="0" borderId="0" xfId="0" applyNumberFormat="1" applyFont="1" applyAlignment="1">
      <alignment horizontal="center" vertical="center"/>
    </xf>
    <xf numFmtId="4" fontId="20" fillId="0" borderId="0" xfId="0" applyNumberFormat="1" applyFont="1" applyAlignment="1">
      <alignment horizontal="center" vertical="center"/>
    </xf>
    <xf numFmtId="4" fontId="21" fillId="4" borderId="0" xfId="0" applyNumberFormat="1" applyFont="1" applyFill="1" applyAlignment="1">
      <alignment horizontal="center" vertical="center"/>
    </xf>
    <xf numFmtId="0" fontId="15" fillId="4" borderId="0" xfId="0" applyFont="1" applyFill="1" applyAlignment="1">
      <alignment horizontal="left" vertical="center"/>
    </xf>
    <xf numFmtId="0" fontId="3" fillId="4" borderId="0" xfId="0" applyFont="1" applyFill="1" applyAlignment="1">
      <alignment horizontal="left" vertical="center"/>
    </xf>
    <xf numFmtId="173" fontId="3" fillId="0" borderId="0" xfId="0" applyNumberFormat="1" applyFont="1" applyAlignment="1">
      <alignment horizontal="center" vertical="center"/>
    </xf>
    <xf numFmtId="0" fontId="0" fillId="4" borderId="0" xfId="0" applyFill="1"/>
    <xf numFmtId="0" fontId="33" fillId="0" borderId="0" xfId="0" applyFont="1" applyAlignment="1">
      <alignment horizontal="left" vertical="top" wrapText="1"/>
    </xf>
    <xf numFmtId="0" fontId="4" fillId="0" borderId="0" xfId="0" applyFont="1" applyAlignment="1">
      <alignment horizontal="left" vertical="top" wrapText="1"/>
    </xf>
    <xf numFmtId="0" fontId="12" fillId="0" borderId="0" xfId="0" applyFont="1" applyAlignment="1">
      <alignment horizontal="center" vertical="center" wrapText="1"/>
    </xf>
    <xf numFmtId="0" fontId="12" fillId="0" borderId="0" xfId="0" applyFont="1" applyAlignment="1">
      <alignment horizontal="center" vertical="center"/>
    </xf>
    <xf numFmtId="0" fontId="2" fillId="5" borderId="14" xfId="0" applyFont="1" applyFill="1" applyBorder="1" applyAlignment="1">
      <alignment horizontal="left" vertical="center"/>
    </xf>
    <xf numFmtId="0" fontId="3" fillId="5" borderId="14" xfId="0" applyFont="1" applyFill="1" applyBorder="1" applyAlignment="1">
      <alignment horizontal="center" vertical="center"/>
    </xf>
    <xf numFmtId="4" fontId="3" fillId="5" borderId="14" xfId="0" applyNumberFormat="1" applyFont="1" applyFill="1" applyBorder="1" applyAlignment="1">
      <alignment horizontal="center" vertical="center"/>
    </xf>
    <xf numFmtId="174" fontId="20" fillId="5" borderId="14" xfId="0" applyNumberFormat="1" applyFont="1" applyFill="1" applyBorder="1" applyAlignment="1">
      <alignment horizontal="center" vertical="center"/>
    </xf>
    <xf numFmtId="166" fontId="20" fillId="5" borderId="14" xfId="0" applyNumberFormat="1" applyFont="1" applyFill="1" applyBorder="1" applyAlignment="1">
      <alignment horizontal="center" vertical="center"/>
    </xf>
    <xf numFmtId="4" fontId="20" fillId="5" borderId="14" xfId="0" applyNumberFormat="1" applyFont="1" applyFill="1" applyBorder="1" applyAlignment="1">
      <alignment horizontal="center" vertical="center"/>
    </xf>
    <xf numFmtId="175" fontId="21" fillId="5" borderId="14" xfId="0" applyNumberFormat="1" applyFont="1" applyFill="1" applyBorder="1" applyAlignment="1">
      <alignment horizontal="center" vertical="center"/>
    </xf>
    <xf numFmtId="175" fontId="21" fillId="5" borderId="0" xfId="0" applyNumberFormat="1" applyFont="1" applyFill="1" applyAlignment="1">
      <alignment horizontal="center" vertical="center"/>
    </xf>
    <xf numFmtId="4" fontId="3" fillId="0" borderId="0" xfId="0" applyNumberFormat="1" applyFont="1" applyAlignment="1">
      <alignment horizontal="center" vertical="center"/>
    </xf>
    <xf numFmtId="174" fontId="3" fillId="0" borderId="0" xfId="0" applyNumberFormat="1" applyFont="1" applyAlignment="1">
      <alignment horizontal="center" vertical="center"/>
    </xf>
    <xf numFmtId="175" fontId="3" fillId="0" borderId="0" xfId="0" applyNumberFormat="1" applyFont="1" applyAlignment="1">
      <alignment horizontal="center" vertical="center"/>
    </xf>
    <xf numFmtId="0" fontId="25" fillId="3" borderId="14" xfId="0" applyFont="1" applyFill="1" applyBorder="1" applyAlignment="1">
      <alignment horizontal="center" vertical="center"/>
    </xf>
    <xf numFmtId="4" fontId="25" fillId="3" borderId="14" xfId="0" applyNumberFormat="1" applyFont="1" applyFill="1" applyBorder="1" applyAlignment="1">
      <alignment horizontal="center" vertical="center"/>
    </xf>
    <xf numFmtId="174" fontId="25" fillId="3" borderId="14" xfId="0" applyNumberFormat="1" applyFont="1" applyFill="1" applyBorder="1" applyAlignment="1">
      <alignment horizontal="center" vertical="center"/>
    </xf>
    <xf numFmtId="166" fontId="25" fillId="3" borderId="14" xfId="0" applyNumberFormat="1" applyFont="1" applyFill="1" applyBorder="1" applyAlignment="1">
      <alignment horizontal="center" vertical="center"/>
    </xf>
    <xf numFmtId="175" fontId="25" fillId="3" borderId="14" xfId="0" applyNumberFormat="1" applyFont="1" applyFill="1" applyBorder="1" applyAlignment="1">
      <alignment horizontal="center" vertical="center"/>
    </xf>
    <xf numFmtId="175" fontId="20" fillId="0" borderId="0" xfId="0" applyNumberFormat="1" applyFont="1" applyAlignment="1">
      <alignment horizontal="center" vertical="center"/>
    </xf>
    <xf numFmtId="4" fontId="3" fillId="4" borderId="0" xfId="0" applyNumberFormat="1" applyFont="1" applyFill="1" applyAlignment="1">
      <alignment horizontal="center" vertical="center"/>
    </xf>
    <xf numFmtId="174" fontId="3" fillId="4" borderId="0" xfId="0" applyNumberFormat="1" applyFont="1" applyFill="1" applyAlignment="1">
      <alignment horizontal="center" vertical="center"/>
    </xf>
    <xf numFmtId="166" fontId="3" fillId="4" borderId="0" xfId="0" applyNumberFormat="1" applyFont="1" applyFill="1" applyAlignment="1">
      <alignment horizontal="center" vertical="center"/>
    </xf>
    <xf numFmtId="175" fontId="21" fillId="4" borderId="0" xfId="0" applyNumberFormat="1" applyFont="1" applyFill="1" applyAlignment="1">
      <alignment horizontal="center" vertical="center"/>
    </xf>
    <xf numFmtId="4" fontId="3" fillId="0" borderId="14" xfId="0" applyNumberFormat="1" applyFont="1" applyBorder="1" applyAlignment="1">
      <alignment horizontal="center" vertical="center"/>
    </xf>
    <xf numFmtId="174" fontId="3" fillId="0" borderId="14" xfId="0" applyNumberFormat="1" applyFont="1" applyBorder="1" applyAlignment="1">
      <alignment horizontal="center" vertical="center"/>
    </xf>
    <xf numFmtId="166" fontId="3" fillId="0" borderId="14" xfId="0" applyNumberFormat="1" applyFont="1" applyBorder="1" applyAlignment="1">
      <alignment horizontal="center" vertical="center"/>
    </xf>
    <xf numFmtId="175" fontId="20" fillId="0" borderId="14" xfId="0" applyNumberFormat="1" applyFont="1" applyBorder="1" applyAlignment="1">
      <alignment horizontal="center" vertical="center"/>
    </xf>
    <xf numFmtId="175" fontId="21" fillId="4" borderId="14" xfId="0" applyNumberFormat="1" applyFont="1" applyFill="1" applyBorder="1" applyAlignment="1">
      <alignment horizontal="center" vertical="center"/>
    </xf>
    <xf numFmtId="169" fontId="25" fillId="3" borderId="14" xfId="0" applyNumberFormat="1" applyFont="1" applyFill="1" applyBorder="1" applyAlignment="1">
      <alignment horizontal="center" vertical="center"/>
    </xf>
    <xf numFmtId="175" fontId="3" fillId="4" borderId="0" xfId="0" applyNumberFormat="1" applyFont="1" applyFill="1" applyAlignment="1">
      <alignment horizontal="center" vertical="center"/>
    </xf>
    <xf numFmtId="4" fontId="2" fillId="4" borderId="0" xfId="0" applyNumberFormat="1" applyFont="1" applyFill="1" applyAlignment="1">
      <alignment horizontal="center" vertical="center"/>
    </xf>
    <xf numFmtId="169" fontId="3" fillId="4" borderId="0" xfId="0" applyNumberFormat="1" applyFont="1" applyFill="1" applyAlignment="1">
      <alignment horizontal="center" vertical="center"/>
    </xf>
    <xf numFmtId="4" fontId="2" fillId="0" borderId="0" xfId="0" applyNumberFormat="1" applyFont="1" applyAlignment="1">
      <alignment horizontal="center" vertical="center"/>
    </xf>
    <xf numFmtId="169" fontId="3" fillId="0" borderId="0" xfId="0" applyNumberFormat="1" applyFont="1" applyAlignment="1">
      <alignment horizontal="center" vertical="center"/>
    </xf>
    <xf numFmtId="175" fontId="2" fillId="3" borderId="0" xfId="0" applyNumberFormat="1" applyFont="1" applyFill="1" applyAlignment="1">
      <alignment horizontal="center" vertical="center"/>
    </xf>
    <xf numFmtId="166" fontId="2" fillId="3" borderId="0" xfId="0" applyNumberFormat="1" applyFont="1" applyFill="1" applyAlignment="1">
      <alignment horizontal="center" vertical="center"/>
    </xf>
    <xf numFmtId="4" fontId="2" fillId="3" borderId="0" xfId="0" applyNumberFormat="1" applyFont="1" applyFill="1" applyAlignment="1">
      <alignment horizontal="center" vertical="center"/>
    </xf>
    <xf numFmtId="169" fontId="2" fillId="3" borderId="0" xfId="0" applyNumberFormat="1" applyFont="1" applyFill="1" applyAlignment="1">
      <alignment horizontal="center" vertical="center"/>
    </xf>
    <xf numFmtId="166" fontId="20" fillId="0" borderId="14" xfId="0" applyNumberFormat="1" applyFont="1" applyBorder="1" applyAlignment="1">
      <alignment horizontal="center" vertical="center"/>
    </xf>
    <xf numFmtId="4" fontId="21" fillId="0" borderId="14" xfId="0" applyNumberFormat="1" applyFont="1" applyBorder="1" applyAlignment="1">
      <alignment horizontal="center" vertical="center"/>
    </xf>
    <xf numFmtId="169" fontId="20" fillId="0" borderId="14" xfId="0" applyNumberFormat="1" applyFont="1" applyBorder="1" applyAlignment="1">
      <alignment horizontal="center" vertical="center"/>
    </xf>
    <xf numFmtId="169" fontId="20" fillId="0" borderId="0" xfId="0" applyNumberFormat="1" applyFont="1" applyAlignment="1">
      <alignment horizontal="center" vertical="center"/>
    </xf>
    <xf numFmtId="175" fontId="20" fillId="4" borderId="0" xfId="0" applyNumberFormat="1" applyFont="1" applyFill="1" applyAlignment="1">
      <alignment horizontal="center" vertical="center"/>
    </xf>
    <xf numFmtId="169" fontId="20" fillId="4" borderId="0" xfId="0" applyNumberFormat="1" applyFont="1" applyFill="1" applyAlignment="1">
      <alignment horizontal="center" vertical="center"/>
    </xf>
    <xf numFmtId="175" fontId="20" fillId="3" borderId="14" xfId="0" applyNumberFormat="1" applyFont="1" applyFill="1" applyBorder="1" applyAlignment="1">
      <alignment horizontal="center" vertical="center"/>
    </xf>
    <xf numFmtId="0" fontId="3" fillId="3" borderId="14" xfId="0" applyFont="1" applyFill="1" applyBorder="1" applyAlignment="1">
      <alignment horizontal="center" vertical="center"/>
    </xf>
    <xf numFmtId="4" fontId="21" fillId="3" borderId="14" xfId="0" applyNumberFormat="1" applyFont="1" applyFill="1" applyBorder="1" applyAlignment="1">
      <alignment horizontal="center" vertical="center"/>
    </xf>
    <xf numFmtId="169" fontId="20" fillId="3" borderId="14" xfId="0" applyNumberFormat="1" applyFont="1" applyFill="1" applyBorder="1" applyAlignment="1">
      <alignment horizontal="center" vertical="center"/>
    </xf>
    <xf numFmtId="0" fontId="4" fillId="4" borderId="0" xfId="0" applyFont="1" applyFill="1" applyAlignment="1">
      <alignment horizontal="left" vertical="center" wrapText="1"/>
    </xf>
    <xf numFmtId="169" fontId="21" fillId="4" borderId="0" xfId="0" applyNumberFormat="1" applyFont="1" applyFill="1" applyAlignment="1">
      <alignment horizontal="center" vertical="center"/>
    </xf>
    <xf numFmtId="0" fontId="25" fillId="3" borderId="14" xfId="0" applyFont="1" applyFill="1" applyBorder="1" applyAlignment="1">
      <alignment horizontal="left" vertical="center" wrapText="1"/>
    </xf>
    <xf numFmtId="0" fontId="34" fillId="0" borderId="0" xfId="0" applyFont="1" applyAlignment="1">
      <alignment horizontal="left" vertical="center"/>
    </xf>
    <xf numFmtId="0" fontId="2" fillId="3" borderId="0" xfId="0" applyFont="1" applyFill="1" applyAlignment="1">
      <alignment horizontal="center" vertical="center" wrapText="1"/>
    </xf>
    <xf numFmtId="0" fontId="2" fillId="5" borderId="0" xfId="0" applyFont="1" applyFill="1" applyAlignment="1">
      <alignment horizontal="left" vertical="center"/>
    </xf>
    <xf numFmtId="176" fontId="2" fillId="5" borderId="0" xfId="0" applyNumberFormat="1" applyFont="1" applyFill="1" applyAlignment="1">
      <alignment horizontal="center" vertical="center"/>
    </xf>
    <xf numFmtId="177" fontId="2" fillId="5" borderId="0" xfId="0" applyNumberFormat="1" applyFont="1" applyFill="1" applyAlignment="1">
      <alignment horizontal="center" vertical="center"/>
    </xf>
    <xf numFmtId="176" fontId="3" fillId="5" borderId="0" xfId="0" applyNumberFormat="1" applyFont="1" applyFill="1" applyAlignment="1">
      <alignment horizontal="center" vertical="center"/>
    </xf>
    <xf numFmtId="175" fontId="2" fillId="5" borderId="0" xfId="0" applyNumberFormat="1" applyFont="1" applyFill="1" applyAlignment="1">
      <alignment horizontal="center"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175" fontId="2" fillId="4" borderId="0" xfId="0" applyNumberFormat="1" applyFont="1" applyFill="1" applyAlignment="1">
      <alignment horizontal="center" vertical="center"/>
    </xf>
    <xf numFmtId="0" fontId="2" fillId="12" borderId="0" xfId="0" applyFont="1" applyFill="1" applyAlignment="1">
      <alignment horizontal="left" vertical="center"/>
    </xf>
    <xf numFmtId="0" fontId="0" fillId="12" borderId="0" xfId="0" applyFill="1"/>
    <xf numFmtId="169" fontId="2" fillId="12" borderId="0" xfId="0" applyNumberFormat="1" applyFont="1" applyFill="1" applyAlignment="1">
      <alignment horizontal="center" vertical="center"/>
    </xf>
    <xf numFmtId="0" fontId="10" fillId="0" borderId="0" xfId="0" applyFont="1" applyAlignment="1">
      <alignment horizontal="left" vertical="center"/>
    </xf>
    <xf numFmtId="0" fontId="2" fillId="3" borderId="14" xfId="0" applyFont="1" applyFill="1" applyBorder="1" applyAlignment="1">
      <alignment horizontal="left" vertical="center" wrapText="1"/>
    </xf>
    <xf numFmtId="0" fontId="2" fillId="3" borderId="14" xfId="0" applyFont="1" applyFill="1" applyBorder="1" applyAlignment="1">
      <alignment horizontal="center" vertical="center"/>
    </xf>
    <xf numFmtId="3" fontId="20" fillId="0" borderId="0" xfId="0" applyNumberFormat="1" applyFont="1" applyAlignment="1">
      <alignment horizontal="center" vertical="center"/>
    </xf>
    <xf numFmtId="3" fontId="20" fillId="0" borderId="16" xfId="0" applyNumberFormat="1" applyFont="1" applyBorder="1" applyAlignment="1">
      <alignment horizontal="center" vertical="center"/>
    </xf>
    <xf numFmtId="3" fontId="20" fillId="0" borderId="17" xfId="0" applyNumberFormat="1" applyFont="1" applyBorder="1" applyAlignment="1">
      <alignment horizontal="center" vertical="center"/>
    </xf>
    <xf numFmtId="3" fontId="20" fillId="0" borderId="18" xfId="0" applyNumberFormat="1" applyFont="1" applyBorder="1" applyAlignment="1">
      <alignment horizontal="center" vertical="center"/>
    </xf>
    <xf numFmtId="0" fontId="35" fillId="5" borderId="0" xfId="0" applyFont="1" applyFill="1" applyAlignment="1">
      <alignment horizontal="center" vertical="center"/>
    </xf>
    <xf numFmtId="0" fontId="36" fillId="0" borderId="0" xfId="0" applyFont="1" applyAlignment="1">
      <alignment horizontal="left" vertical="center"/>
    </xf>
    <xf numFmtId="0" fontId="12" fillId="0" borderId="0" xfId="0" applyFont="1" applyAlignment="1">
      <alignment horizontal="left" vertical="center" wrapText="1"/>
    </xf>
    <xf numFmtId="0" fontId="37" fillId="6" borderId="0" xfId="0" applyFont="1" applyFill="1" applyAlignment="1">
      <alignment horizontal="center" vertical="center"/>
    </xf>
    <xf numFmtId="0" fontId="38" fillId="0" borderId="0" xfId="0" applyFont="1" applyAlignment="1">
      <alignment horizontal="left" vertical="center"/>
    </xf>
    <xf numFmtId="0" fontId="2" fillId="13" borderId="0" xfId="0" applyFont="1" applyFill="1" applyAlignment="1">
      <alignment horizontal="center" vertical="center"/>
    </xf>
    <xf numFmtId="0" fontId="2" fillId="3" borderId="14" xfId="0" applyFont="1" applyFill="1" applyBorder="1" applyAlignment="1">
      <alignment horizontal="center" vertical="center" wrapText="1"/>
    </xf>
    <xf numFmtId="0" fontId="25" fillId="3" borderId="14" xfId="0" applyFont="1" applyFill="1" applyBorder="1" applyAlignment="1">
      <alignment horizontal="center" vertical="center" wrapText="1"/>
    </xf>
    <xf numFmtId="9" fontId="3" fillId="0" borderId="0" xfId="0" applyNumberFormat="1" applyFont="1" applyAlignment="1">
      <alignment horizontal="center" vertical="center"/>
    </xf>
    <xf numFmtId="9" fontId="3" fillId="0" borderId="14" xfId="0" applyNumberFormat="1" applyFont="1" applyBorder="1" applyAlignment="1">
      <alignment horizontal="center" vertical="center"/>
    </xf>
    <xf numFmtId="10" fontId="20" fillId="0" borderId="14" xfId="0" applyNumberFormat="1" applyFont="1" applyBorder="1" applyAlignment="1">
      <alignment horizontal="center" vertical="center"/>
    </xf>
    <xf numFmtId="0" fontId="4" fillId="0" borderId="14" xfId="0" applyFont="1" applyBorder="1" applyAlignment="1">
      <alignment horizontal="left" vertical="center"/>
    </xf>
    <xf numFmtId="0" fontId="10" fillId="0" borderId="0" xfId="0" applyFont="1" applyAlignment="1">
      <alignment horizontal="left" vertical="center" wrapText="1"/>
    </xf>
    <xf numFmtId="4" fontId="27" fillId="4" borderId="0" xfId="0" applyNumberFormat="1" applyFont="1" applyFill="1" applyAlignment="1">
      <alignment horizontal="center" vertical="center"/>
    </xf>
    <xf numFmtId="9" fontId="21" fillId="4" borderId="0" xfId="0" applyNumberFormat="1" applyFont="1" applyFill="1" applyAlignment="1">
      <alignment horizontal="center" vertical="center"/>
    </xf>
    <xf numFmtId="0" fontId="4" fillId="4" borderId="0" xfId="0" applyFont="1" applyFill="1" applyAlignment="1">
      <alignment horizontal="left" vertical="center"/>
    </xf>
    <xf numFmtId="0" fontId="25" fillId="3" borderId="14" xfId="0" applyFont="1" applyFill="1" applyBorder="1" applyAlignment="1">
      <alignment horizontal="left" vertical="center"/>
    </xf>
    <xf numFmtId="10" fontId="21" fillId="0" borderId="14" xfId="0" applyNumberFormat="1" applyFont="1" applyBorder="1" applyAlignment="1">
      <alignment horizontal="center" vertical="center"/>
    </xf>
    <xf numFmtId="0" fontId="39" fillId="0" borderId="0" xfId="0" applyFont="1" applyAlignment="1">
      <alignment horizontal="center" vertical="center"/>
    </xf>
    <xf numFmtId="0" fontId="40" fillId="0" borderId="0" xfId="0" applyFont="1" applyAlignment="1">
      <alignment horizontal="left" vertical="center"/>
    </xf>
    <xf numFmtId="0" fontId="1" fillId="2" borderId="12" xfId="0" applyFont="1" applyFill="1" applyBorder="1" applyAlignment="1">
      <alignment horizontal="left" vertical="center"/>
    </xf>
    <xf numFmtId="0" fontId="17" fillId="2" borderId="13" xfId="0" applyFont="1" applyFill="1" applyBorder="1" applyAlignment="1">
      <alignment horizontal="center"/>
    </xf>
    <xf numFmtId="0" fontId="17" fillId="2" borderId="14" xfId="0" applyFont="1" applyFill="1" applyBorder="1" applyAlignment="1">
      <alignment horizontal="center"/>
    </xf>
    <xf numFmtId="0" fontId="17" fillId="2" borderId="15" xfId="0" applyFont="1" applyFill="1" applyBorder="1" applyAlignment="1">
      <alignment horizontal="center"/>
    </xf>
    <xf numFmtId="0" fontId="18" fillId="2" borderId="13" xfId="0" applyFont="1" applyFill="1" applyBorder="1" applyAlignment="1">
      <alignment horizontal="center"/>
    </xf>
    <xf numFmtId="0" fontId="18" fillId="2" borderId="14" xfId="0" applyFont="1" applyFill="1" applyBorder="1" applyAlignment="1">
      <alignment horizontal="center"/>
    </xf>
    <xf numFmtId="0" fontId="18" fillId="2" borderId="15" xfId="0" applyFont="1" applyFill="1" applyBorder="1" applyAlignment="1">
      <alignment horizontal="center"/>
    </xf>
    <xf numFmtId="0" fontId="2" fillId="3" borderId="12" xfId="0" applyFont="1" applyFill="1" applyBorder="1" applyAlignment="1">
      <alignment horizontal="left" vertical="center"/>
    </xf>
    <xf numFmtId="164" fontId="36" fillId="5" borderId="13" xfId="0" applyNumberFormat="1" applyFont="1" applyFill="1" applyBorder="1" applyAlignment="1">
      <alignment horizontal="center"/>
    </xf>
    <xf numFmtId="164" fontId="36" fillId="5" borderId="14" xfId="0" applyNumberFormat="1" applyFont="1" applyFill="1" applyBorder="1" applyAlignment="1">
      <alignment horizontal="center"/>
    </xf>
    <xf numFmtId="164" fontId="36" fillId="5" borderId="15" xfId="0" applyNumberFormat="1" applyFont="1" applyFill="1" applyBorder="1" applyAlignment="1">
      <alignment horizontal="center"/>
    </xf>
    <xf numFmtId="164" fontId="38" fillId="6" borderId="13" xfId="0" applyNumberFormat="1" applyFont="1" applyFill="1" applyBorder="1" applyAlignment="1">
      <alignment horizontal="center"/>
    </xf>
    <xf numFmtId="164" fontId="38" fillId="6" borderId="14" xfId="0" applyNumberFormat="1" applyFont="1" applyFill="1" applyBorder="1" applyAlignment="1">
      <alignment horizontal="center"/>
    </xf>
    <xf numFmtId="164" fontId="38" fillId="6" borderId="15" xfId="0" applyNumberFormat="1" applyFont="1" applyFill="1" applyBorder="1" applyAlignment="1">
      <alignment horizontal="center"/>
    </xf>
    <xf numFmtId="0" fontId="2" fillId="0" borderId="12" xfId="0" applyFont="1" applyBorder="1" applyAlignment="1">
      <alignment horizontal="left" vertical="center"/>
    </xf>
    <xf numFmtId="0" fontId="29" fillId="0" borderId="12" xfId="0" applyFont="1" applyBorder="1"/>
    <xf numFmtId="0" fontId="0" fillId="0" borderId="13" xfId="0" applyBorder="1"/>
    <xf numFmtId="0" fontId="0" fillId="0" borderId="15" xfId="0" applyBorder="1"/>
    <xf numFmtId="0" fontId="3" fillId="0" borderId="12" xfId="0" applyFont="1" applyBorder="1" applyAlignment="1">
      <alignment horizontal="left" vertical="center"/>
    </xf>
    <xf numFmtId="169" fontId="3" fillId="0" borderId="13" xfId="0" applyNumberFormat="1" applyFont="1" applyBorder="1" applyAlignment="1">
      <alignment horizontal="center" vertical="center"/>
    </xf>
    <xf numFmtId="169" fontId="20" fillId="0" borderId="15" xfId="0" applyNumberFormat="1" applyFont="1" applyBorder="1" applyAlignment="1">
      <alignment horizontal="center" vertical="center"/>
    </xf>
    <xf numFmtId="169" fontId="20" fillId="0" borderId="13" xfId="0" applyNumberFormat="1" applyFont="1" applyBorder="1" applyAlignment="1">
      <alignment horizontal="center" vertical="center"/>
    </xf>
    <xf numFmtId="166" fontId="21" fillId="0" borderId="13" xfId="0" applyNumberFormat="1" applyFont="1" applyBorder="1" applyAlignment="1">
      <alignment horizontal="center" vertical="center"/>
    </xf>
    <xf numFmtId="166" fontId="21" fillId="0" borderId="15" xfId="0" applyNumberFormat="1" applyFont="1" applyBorder="1" applyAlignment="1">
      <alignment horizontal="center" vertical="center"/>
    </xf>
    <xf numFmtId="169" fontId="21" fillId="0" borderId="13" xfId="0" applyNumberFormat="1" applyFont="1" applyBorder="1" applyAlignment="1">
      <alignment horizontal="center" vertical="center"/>
    </xf>
    <xf numFmtId="169" fontId="21" fillId="0" borderId="14" xfId="0" applyNumberFormat="1" applyFont="1" applyBorder="1" applyAlignment="1">
      <alignment horizontal="center" vertical="center"/>
    </xf>
    <xf numFmtId="169" fontId="21" fillId="0" borderId="15" xfId="0" applyNumberFormat="1" applyFont="1" applyBorder="1" applyAlignment="1">
      <alignment horizontal="center" vertical="center"/>
    </xf>
    <xf numFmtId="175" fontId="20" fillId="0" borderId="13" xfId="0" applyNumberFormat="1" applyFont="1" applyBorder="1" applyAlignment="1">
      <alignment horizontal="center" vertical="center"/>
    </xf>
    <xf numFmtId="175" fontId="20" fillId="0" borderId="15" xfId="0" applyNumberFormat="1" applyFont="1" applyBorder="1" applyAlignment="1">
      <alignment horizontal="center" vertical="center"/>
    </xf>
    <xf numFmtId="166" fontId="20" fillId="0" borderId="13" xfId="0" applyNumberFormat="1" applyFont="1" applyBorder="1" applyAlignment="1">
      <alignment horizontal="center" vertical="center"/>
    </xf>
    <xf numFmtId="166" fontId="20" fillId="0" borderId="15" xfId="0" applyNumberFormat="1" applyFont="1" applyBorder="1" applyAlignment="1">
      <alignment horizontal="center" vertical="center"/>
    </xf>
    <xf numFmtId="175" fontId="3" fillId="0" borderId="13" xfId="0" applyNumberFormat="1" applyFont="1" applyBorder="1" applyAlignment="1">
      <alignment horizontal="center" vertical="center"/>
    </xf>
    <xf numFmtId="1" fontId="20" fillId="0" borderId="13" xfId="0" applyNumberFormat="1" applyFont="1" applyBorder="1" applyAlignment="1">
      <alignment horizontal="center" vertical="center"/>
    </xf>
    <xf numFmtId="1" fontId="20" fillId="0" borderId="14" xfId="0" applyNumberFormat="1" applyFont="1" applyBorder="1" applyAlignment="1">
      <alignment horizontal="center" vertical="center"/>
    </xf>
    <xf numFmtId="1" fontId="20" fillId="0" borderId="15" xfId="0" applyNumberFormat="1" applyFont="1" applyBorder="1" applyAlignment="1">
      <alignment horizontal="center" vertical="center"/>
    </xf>
    <xf numFmtId="1" fontId="21" fillId="0" borderId="13" xfId="0" applyNumberFormat="1" applyFont="1" applyBorder="1" applyAlignment="1">
      <alignment horizontal="center" vertical="center"/>
    </xf>
    <xf numFmtId="1" fontId="21" fillId="0" borderId="14" xfId="0" applyNumberFormat="1" applyFont="1" applyBorder="1" applyAlignment="1">
      <alignment horizontal="center" vertical="center"/>
    </xf>
    <xf numFmtId="1" fontId="21" fillId="0" borderId="15" xfId="0" applyNumberFormat="1" applyFont="1" applyBorder="1" applyAlignment="1">
      <alignment horizontal="center" vertical="center"/>
    </xf>
    <xf numFmtId="0" fontId="19" fillId="0" borderId="12" xfId="0" applyFont="1" applyBorder="1"/>
    <xf numFmtId="0" fontId="19" fillId="0" borderId="13" xfId="0" applyFont="1" applyBorder="1"/>
    <xf numFmtId="0" fontId="19" fillId="0" borderId="15" xfId="0" applyFont="1" applyBorder="1"/>
    <xf numFmtId="4" fontId="21" fillId="0" borderId="13" xfId="0" applyNumberFormat="1" applyFont="1" applyBorder="1" applyAlignment="1">
      <alignment horizontal="center" vertical="center"/>
    </xf>
    <xf numFmtId="4" fontId="21" fillId="0" borderId="15" xfId="0" applyNumberFormat="1" applyFont="1" applyBorder="1" applyAlignment="1">
      <alignment horizontal="center" vertical="center"/>
    </xf>
    <xf numFmtId="4" fontId="20" fillId="0" borderId="13" xfId="0" applyNumberFormat="1" applyFont="1" applyBorder="1" applyAlignment="1">
      <alignment horizontal="center" vertical="center"/>
    </xf>
    <xf numFmtId="4" fontId="20" fillId="0" borderId="14" xfId="0" applyNumberFormat="1" applyFont="1" applyBorder="1" applyAlignment="1">
      <alignment horizontal="center" vertical="center"/>
    </xf>
    <xf numFmtId="4" fontId="20" fillId="0" borderId="15" xfId="0" applyNumberFormat="1" applyFont="1" applyBorder="1" applyAlignment="1">
      <alignment horizontal="center" vertical="center"/>
    </xf>
    <xf numFmtId="0" fontId="0" fillId="0" borderId="12" xfId="0" applyBorder="1"/>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2" fillId="0" borderId="0" xfId="0" applyFont="1" applyAlignment="1">
      <alignment horizontal="left" vertical="center" wrapText="1"/>
    </xf>
    <xf numFmtId="0" fontId="19" fillId="0" borderId="14" xfId="0" applyFont="1" applyBorder="1" applyAlignment="1">
      <alignment wrapText="1"/>
    </xf>
    <xf numFmtId="0" fontId="2" fillId="3" borderId="14" xfId="0" applyFont="1" applyFill="1" applyBorder="1" applyAlignment="1">
      <alignment wrapText="1"/>
    </xf>
    <xf numFmtId="0" fontId="3" fillId="0" borderId="0" xfId="0" applyFont="1" applyAlignment="1">
      <alignment horizontal="left" vertical="center" wrapText="1"/>
    </xf>
    <xf numFmtId="0" fontId="15" fillId="0" borderId="0" xfId="0" applyFont="1" applyAlignment="1">
      <alignment horizontal="left" vertical="center" wrapText="1"/>
    </xf>
    <xf numFmtId="0" fontId="2" fillId="4" borderId="0" xfId="0" applyFont="1" applyFill="1" applyAlignment="1">
      <alignment horizontal="left" vertical="center" wrapText="1"/>
    </xf>
    <xf numFmtId="0" fontId="28" fillId="0" borderId="0" xfId="0" applyFont="1" applyAlignment="1">
      <alignment wrapText="1"/>
    </xf>
    <xf numFmtId="0" fontId="2" fillId="0" borderId="14" xfId="0" applyFont="1" applyBorder="1" applyAlignment="1">
      <alignment horizontal="left" vertical="center" wrapText="1"/>
    </xf>
    <xf numFmtId="0" fontId="29" fillId="0" borderId="0" xfId="0" applyFont="1" applyAlignment="1">
      <alignment wrapText="1"/>
    </xf>
    <xf numFmtId="0" fontId="19" fillId="0" borderId="0" xfId="0" applyFont="1" applyAlignment="1">
      <alignment wrapText="1"/>
    </xf>
    <xf numFmtId="0" fontId="2" fillId="4" borderId="14" xfId="0" applyFont="1" applyFill="1" applyBorder="1" applyAlignment="1">
      <alignment horizontal="left" vertical="center" wrapText="1"/>
    </xf>
    <xf numFmtId="0" fontId="0" fillId="0" borderId="0" xfId="0" applyAlignment="1">
      <alignment wrapText="1"/>
    </xf>
    <xf numFmtId="0" fontId="30" fillId="0" borderId="0" xfId="0" applyFont="1" applyAlignment="1">
      <alignment horizontal="left" vertical="center" wrapText="1"/>
    </xf>
    <xf numFmtId="0" fontId="31" fillId="0" borderId="0" xfId="0" applyFont="1" applyAlignment="1">
      <alignment horizontal="left" vertical="center" wrapText="1"/>
    </xf>
    <xf numFmtId="0" fontId="32" fillId="0" borderId="0" xfId="0" applyFont="1" applyAlignment="1">
      <alignment horizontal="left" vertical="center" wrapText="1"/>
    </xf>
    <xf numFmtId="0" fontId="0" fillId="2" borderId="0" xfId="0" applyFill="1" applyAlignment="1">
      <alignment wrapText="1"/>
    </xf>
    <xf numFmtId="0" fontId="25" fillId="3" borderId="14" xfId="0" applyFont="1" applyFill="1" applyBorder="1" applyAlignment="1">
      <alignment wrapText="1"/>
    </xf>
    <xf numFmtId="0" fontId="3" fillId="4" borderId="0" xfId="0" applyFont="1" applyFill="1" applyAlignment="1">
      <alignment horizontal="left" vertical="center" wrapText="1"/>
    </xf>
    <xf numFmtId="0" fontId="25" fillId="4" borderId="0" xfId="0" applyFont="1" applyFill="1" applyAlignment="1">
      <alignment wrapText="1"/>
    </xf>
    <xf numFmtId="0" fontId="0" fillId="4" borderId="0" xfId="0" applyFill="1" applyAlignment="1">
      <alignment wrapText="1"/>
    </xf>
    <xf numFmtId="0" fontId="0" fillId="0" borderId="0" xfId="0" applyFill="1" applyBorder="1"/>
    <xf numFmtId="0" fontId="25" fillId="0" borderId="0" xfId="0" applyFont="1" applyFill="1" applyBorder="1"/>
    <xf numFmtId="0" fontId="3" fillId="0" borderId="14" xfId="0" applyFont="1" applyBorder="1" applyAlignment="1">
      <alignment horizontal="left" vertical="center" wrapText="1"/>
    </xf>
    <xf numFmtId="0" fontId="30" fillId="0" borderId="14" xfId="0" applyFont="1" applyBorder="1" applyAlignment="1">
      <alignment horizontal="left" vertical="center" wrapText="1"/>
    </xf>
    <xf numFmtId="0" fontId="25" fillId="0" borderId="0" xfId="0" applyFont="1" applyFill="1" applyBorder="1" applyAlignment="1">
      <alignment horizontal="center" vertical="center" wrapText="1"/>
    </xf>
    <xf numFmtId="0" fontId="19" fillId="0" borderId="0" xfId="0" applyFont="1" applyFill="1" applyBorder="1"/>
  </cellXfs>
  <cellStyles count="1">
    <cellStyle name="Normal" xfId="0" builtinId="0"/>
  </cellStyles>
  <dxfs count="3">
    <dxf>
      <font>
        <sz val="11"/>
        <color rgb="FF9C0006"/>
        <name val="Aptos Narrow"/>
        <charset val="1"/>
      </font>
      <fill>
        <patternFill>
          <bgColor rgb="FFFFC7CE"/>
        </patternFill>
      </fill>
    </dxf>
    <dxf>
      <font>
        <sz val="11"/>
        <color rgb="FF9C5700"/>
        <name val="Aptos Narrow"/>
        <charset val="1"/>
      </font>
      <fill>
        <patternFill>
          <bgColor rgb="FFFFEB9C"/>
        </patternFill>
      </fill>
    </dxf>
    <dxf>
      <font>
        <sz val="11"/>
        <color rgb="FF006100"/>
        <name val="Aptos Narrow"/>
        <charset val="1"/>
      </font>
      <fill>
        <patternFill>
          <bgColor rgb="FFC6EFCE"/>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9D9D9"/>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D8D8D8"/>
      <rgbColor rgb="FFC6EFCE"/>
      <rgbColor rgb="FFFFEB9C"/>
      <rgbColor rgb="FF99CCFF"/>
      <rgbColor rgb="FFFAE2D5"/>
      <rgbColor rgb="FFCC99FF"/>
      <rgbColor rgb="FFFFC7CE"/>
      <rgbColor rgb="FF4472C4"/>
      <rgbColor rgb="FF33CCCC"/>
      <rgbColor rgb="FF99CC00"/>
      <rgbColor rgb="FFFFCC00"/>
      <rgbColor rgb="FFFF9900"/>
      <rgbColor rgb="FFFF6600"/>
      <rgbColor rgb="FF595959"/>
      <rgbColor rgb="FFA6A6A6"/>
      <rgbColor rgb="FF003366"/>
      <rgbColor rgb="FF70AD47"/>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B1:F51"/>
  <sheetViews>
    <sheetView zoomScaleNormal="100" workbookViewId="0"/>
  </sheetViews>
  <sheetFormatPr defaultColWidth="8.5546875" defaultRowHeight="14.4" x14ac:dyDescent="0.3"/>
  <cols>
    <col min="1" max="1" width="3" customWidth="1"/>
    <col min="2" max="2" width="40" customWidth="1"/>
    <col min="3" max="5" width="22" customWidth="1"/>
    <col min="6" max="6" width="3" customWidth="1"/>
  </cols>
  <sheetData>
    <row r="1" spans="2:6" ht="21.75" customHeight="1" x14ac:dyDescent="0.3">
      <c r="B1" s="1" t="s">
        <v>0</v>
      </c>
      <c r="C1" s="2"/>
      <c r="D1" s="2"/>
      <c r="E1" s="2"/>
      <c r="F1" s="2"/>
    </row>
    <row r="3" spans="2:6" ht="16.5" customHeight="1" x14ac:dyDescent="0.3">
      <c r="B3" s="3" t="s">
        <v>1</v>
      </c>
      <c r="C3" s="4"/>
      <c r="D3" s="4"/>
      <c r="E3" s="4"/>
    </row>
    <row r="4" spans="2:6" ht="15.75" customHeight="1" x14ac:dyDescent="0.3">
      <c r="B4" s="5" t="s">
        <v>2</v>
      </c>
      <c r="C4" s="6" t="s">
        <v>3</v>
      </c>
      <c r="D4" s="7" t="s">
        <v>4</v>
      </c>
    </row>
    <row r="5" spans="2:6" ht="15.75" customHeight="1" x14ac:dyDescent="0.3">
      <c r="B5" s="5" t="s">
        <v>5</v>
      </c>
      <c r="C5" s="6" t="s">
        <v>6</v>
      </c>
      <c r="D5" s="7" t="s">
        <v>7</v>
      </c>
    </row>
    <row r="6" spans="2:6" ht="15.75" customHeight="1" x14ac:dyDescent="0.3">
      <c r="B6" s="5" t="s">
        <v>8</v>
      </c>
      <c r="C6" s="6" t="s">
        <v>9</v>
      </c>
      <c r="D6" s="7" t="s">
        <v>10</v>
      </c>
    </row>
    <row r="7" spans="2:6" ht="15.75" customHeight="1" x14ac:dyDescent="0.3">
      <c r="B7" s="5" t="s">
        <v>11</v>
      </c>
      <c r="C7" s="6" t="s">
        <v>12</v>
      </c>
      <c r="D7" s="7" t="s">
        <v>13</v>
      </c>
    </row>
    <row r="8" spans="2:6" ht="15.75" customHeight="1" x14ac:dyDescent="0.3">
      <c r="B8" s="5" t="s">
        <v>14</v>
      </c>
      <c r="C8" s="6" t="s">
        <v>15</v>
      </c>
      <c r="D8" s="7" t="s">
        <v>16</v>
      </c>
    </row>
    <row r="9" spans="2:6" ht="15.75" customHeight="1" x14ac:dyDescent="0.3">
      <c r="B9" s="5" t="s">
        <v>17</v>
      </c>
      <c r="C9" s="6" t="s">
        <v>18</v>
      </c>
      <c r="D9" s="7" t="s">
        <v>19</v>
      </c>
    </row>
    <row r="10" spans="2:6" ht="15.75" customHeight="1" x14ac:dyDescent="0.3">
      <c r="B10" s="5" t="s">
        <v>20</v>
      </c>
      <c r="C10" s="6" t="s">
        <v>21</v>
      </c>
      <c r="D10" s="7" t="s">
        <v>22</v>
      </c>
    </row>
    <row r="11" spans="2:6" ht="15.75" customHeight="1" x14ac:dyDescent="0.3">
      <c r="B11" s="5" t="s">
        <v>23</v>
      </c>
      <c r="C11" s="6" t="s">
        <v>24</v>
      </c>
      <c r="D11" s="7" t="s">
        <v>25</v>
      </c>
    </row>
    <row r="13" spans="2:6" ht="16.5" customHeight="1" x14ac:dyDescent="0.3">
      <c r="B13" s="3" t="s">
        <v>26</v>
      </c>
      <c r="C13" s="4"/>
      <c r="D13" s="4"/>
      <c r="E13" s="4"/>
    </row>
    <row r="14" spans="2:6" ht="15.75" customHeight="1" x14ac:dyDescent="0.3">
      <c r="B14" s="5" t="s">
        <v>27</v>
      </c>
      <c r="C14" s="6" t="s">
        <v>28</v>
      </c>
      <c r="D14" s="7" t="s">
        <v>29</v>
      </c>
    </row>
    <row r="15" spans="2:6" ht="15.75" customHeight="1" x14ac:dyDescent="0.3">
      <c r="B15" s="5" t="s">
        <v>30</v>
      </c>
      <c r="C15" s="6" t="s">
        <v>31</v>
      </c>
      <c r="D15" s="7" t="s">
        <v>32</v>
      </c>
    </row>
    <row r="16" spans="2:6" ht="15.75" customHeight="1" x14ac:dyDescent="0.3">
      <c r="B16" s="5" t="s">
        <v>33</v>
      </c>
      <c r="C16" s="6" t="s">
        <v>34</v>
      </c>
      <c r="D16" s="7" t="s">
        <v>35</v>
      </c>
    </row>
    <row r="17" spans="2:5" ht="15.75" customHeight="1" x14ac:dyDescent="0.3">
      <c r="B17" s="5" t="s">
        <v>36</v>
      </c>
      <c r="C17" s="6" t="s">
        <v>37</v>
      </c>
      <c r="D17" s="7" t="s">
        <v>38</v>
      </c>
    </row>
    <row r="18" spans="2:5" ht="15.75" customHeight="1" x14ac:dyDescent="0.3">
      <c r="B18" s="5" t="s">
        <v>39</v>
      </c>
      <c r="C18" s="6" t="s">
        <v>40</v>
      </c>
      <c r="D18" s="7" t="s">
        <v>41</v>
      </c>
    </row>
    <row r="19" spans="2:5" ht="15.75" customHeight="1" x14ac:dyDescent="0.3">
      <c r="B19" s="5" t="s">
        <v>42</v>
      </c>
      <c r="C19" s="6" t="s">
        <v>43</v>
      </c>
      <c r="D19" s="7" t="s">
        <v>44</v>
      </c>
    </row>
    <row r="20" spans="2:5" ht="15.75" customHeight="1" x14ac:dyDescent="0.3">
      <c r="B20" s="5" t="s">
        <v>45</v>
      </c>
      <c r="C20" s="6" t="s">
        <v>46</v>
      </c>
      <c r="D20" s="7" t="s">
        <v>47</v>
      </c>
    </row>
    <row r="22" spans="2:5" ht="16.5" customHeight="1" x14ac:dyDescent="0.3">
      <c r="B22" s="3" t="s">
        <v>48</v>
      </c>
      <c r="C22" s="4"/>
      <c r="D22" s="4"/>
      <c r="E22" s="4"/>
    </row>
    <row r="23" spans="2:5" ht="15.75" customHeight="1" x14ac:dyDescent="0.3">
      <c r="B23" s="5" t="s">
        <v>14</v>
      </c>
      <c r="C23" s="8" t="s">
        <v>49</v>
      </c>
      <c r="D23" s="7" t="s">
        <v>50</v>
      </c>
    </row>
    <row r="24" spans="2:5" ht="15.75" customHeight="1" x14ac:dyDescent="0.3">
      <c r="B24" s="5" t="s">
        <v>51</v>
      </c>
      <c r="C24" s="9" t="s">
        <v>52</v>
      </c>
      <c r="D24" s="7" t="s">
        <v>53</v>
      </c>
    </row>
    <row r="25" spans="2:5" ht="15.75" customHeight="1" x14ac:dyDescent="0.3">
      <c r="B25" s="5" t="s">
        <v>54</v>
      </c>
      <c r="C25" s="10" t="s">
        <v>55</v>
      </c>
      <c r="D25" s="7" t="s">
        <v>56</v>
      </c>
    </row>
    <row r="26" spans="2:5" ht="15.75" customHeight="1" x14ac:dyDescent="0.3">
      <c r="B26" s="5" t="s">
        <v>57</v>
      </c>
      <c r="C26" s="11" t="s">
        <v>58</v>
      </c>
      <c r="D26" s="7" t="s">
        <v>59</v>
      </c>
    </row>
    <row r="27" spans="2:5" ht="15.75" customHeight="1" x14ac:dyDescent="0.3">
      <c r="B27" s="5" t="s">
        <v>60</v>
      </c>
      <c r="C27" s="10" t="s">
        <v>55</v>
      </c>
      <c r="D27" s="7" t="s">
        <v>61</v>
      </c>
    </row>
    <row r="28" spans="2:5" ht="15.75" customHeight="1" x14ac:dyDescent="0.3">
      <c r="B28" s="5" t="s">
        <v>62</v>
      </c>
      <c r="C28" s="12" t="s">
        <v>63</v>
      </c>
      <c r="D28" s="7" t="s">
        <v>64</v>
      </c>
    </row>
    <row r="29" spans="2:5" ht="15.75" customHeight="1" x14ac:dyDescent="0.3">
      <c r="B29" s="5" t="s">
        <v>65</v>
      </c>
      <c r="C29" s="9" t="s">
        <v>52</v>
      </c>
      <c r="D29" s="7" t="s">
        <v>66</v>
      </c>
    </row>
    <row r="30" spans="2:5" ht="15.75" customHeight="1" x14ac:dyDescent="0.3">
      <c r="B30" s="5" t="s">
        <v>67</v>
      </c>
      <c r="C30" s="13" t="s">
        <v>68</v>
      </c>
      <c r="D30" s="7" t="s">
        <v>69</v>
      </c>
    </row>
    <row r="31" spans="2:5" ht="15.75" customHeight="1" x14ac:dyDescent="0.3">
      <c r="B31" s="3" t="s">
        <v>70</v>
      </c>
      <c r="C31" s="14" t="s">
        <v>71</v>
      </c>
      <c r="D31" s="15" t="s">
        <v>72</v>
      </c>
      <c r="E31" s="4"/>
    </row>
    <row r="32" spans="2:5" ht="15.75" customHeight="1" x14ac:dyDescent="0.3">
      <c r="B32" s="5" t="s">
        <v>73</v>
      </c>
      <c r="C32" s="16" t="s">
        <v>74</v>
      </c>
      <c r="D32" s="7" t="s">
        <v>75</v>
      </c>
    </row>
    <row r="33" spans="2:5" ht="18" customHeight="1" x14ac:dyDescent="0.3">
      <c r="B33" s="5" t="s">
        <v>76</v>
      </c>
      <c r="C33" s="17" t="s">
        <v>77</v>
      </c>
      <c r="D33" s="7" t="s">
        <v>78</v>
      </c>
    </row>
    <row r="34" spans="2:5" ht="18" customHeight="1" x14ac:dyDescent="0.3">
      <c r="B34" s="5" t="s">
        <v>79</v>
      </c>
      <c r="C34" s="18" t="s">
        <v>80</v>
      </c>
      <c r="D34" s="7" t="s">
        <v>81</v>
      </c>
    </row>
    <row r="36" spans="2:5" ht="16.5" customHeight="1" x14ac:dyDescent="0.3">
      <c r="B36" s="3" t="s">
        <v>82</v>
      </c>
      <c r="C36" s="4"/>
      <c r="D36" s="4"/>
      <c r="E36" s="4"/>
    </row>
    <row r="37" spans="2:5" ht="15" customHeight="1" x14ac:dyDescent="0.3">
      <c r="B37" s="19" t="s">
        <v>83</v>
      </c>
    </row>
    <row r="38" spans="2:5" ht="15" customHeight="1" x14ac:dyDescent="0.3">
      <c r="B38" s="19" t="s">
        <v>84</v>
      </c>
    </row>
    <row r="39" spans="2:5" ht="15" customHeight="1" x14ac:dyDescent="0.3">
      <c r="B39" s="19" t="s">
        <v>85</v>
      </c>
    </row>
    <row r="40" spans="2:5" ht="15" customHeight="1" x14ac:dyDescent="0.3">
      <c r="B40" s="19" t="s">
        <v>86</v>
      </c>
    </row>
    <row r="41" spans="2:5" ht="15" customHeight="1" x14ac:dyDescent="0.3">
      <c r="B41" s="19" t="s">
        <v>87</v>
      </c>
    </row>
    <row r="42" spans="2:5" ht="15" customHeight="1" x14ac:dyDescent="0.3">
      <c r="B42" s="19" t="s">
        <v>88</v>
      </c>
    </row>
    <row r="43" spans="2:5" ht="15" customHeight="1" x14ac:dyDescent="0.3">
      <c r="B43" s="19" t="s">
        <v>89</v>
      </c>
    </row>
    <row r="44" spans="2:5" ht="15" customHeight="1" x14ac:dyDescent="0.3">
      <c r="B44" s="19" t="s">
        <v>90</v>
      </c>
    </row>
    <row r="45" spans="2:5" ht="15" customHeight="1" x14ac:dyDescent="0.3">
      <c r="B45" s="19" t="s">
        <v>91</v>
      </c>
    </row>
    <row r="46" spans="2:5" ht="15" customHeight="1" x14ac:dyDescent="0.3">
      <c r="B46" s="19" t="s">
        <v>92</v>
      </c>
    </row>
    <row r="47" spans="2:5" ht="15" customHeight="1" x14ac:dyDescent="0.3">
      <c r="B47" s="19" t="s">
        <v>93</v>
      </c>
    </row>
    <row r="48" spans="2:5" ht="15" customHeight="1" x14ac:dyDescent="0.3">
      <c r="B48" s="19" t="s">
        <v>94</v>
      </c>
    </row>
    <row r="49" spans="2:2" ht="15" customHeight="1" x14ac:dyDescent="0.3">
      <c r="B49" s="19" t="s">
        <v>95</v>
      </c>
    </row>
    <row r="50" spans="2:2" ht="15" customHeight="1" x14ac:dyDescent="0.3">
      <c r="B50" s="19" t="s">
        <v>96</v>
      </c>
    </row>
    <row r="51" spans="2:2" ht="15" customHeight="1" x14ac:dyDescent="0.3">
      <c r="B51" s="19" t="s">
        <v>97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6A6A6"/>
  </sheetPr>
  <dimension ref="A1:Z1000"/>
  <sheetViews>
    <sheetView showGridLines="0" zoomScaleNormal="100" workbookViewId="0">
      <pane xSplit="2" ySplit="2" topLeftCell="C43" activePane="bottomRight" state="frozen"/>
      <selection pane="topRight" activeCell="C1" sqref="C1"/>
      <selection pane="bottomLeft" activeCell="A43" sqref="A43"/>
      <selection pane="bottomRight" activeCell="B90" sqref="B90"/>
    </sheetView>
  </sheetViews>
  <sheetFormatPr defaultColWidth="12.6640625" defaultRowHeight="14.4" x14ac:dyDescent="0.3"/>
  <cols>
    <col min="1" max="1" width="3" customWidth="1"/>
    <col min="2" max="2" width="63.44140625" customWidth="1"/>
    <col min="3" max="3" width="11.44140625" customWidth="1"/>
    <col min="4" max="7" width="10.33203125" customWidth="1"/>
    <col min="8" max="12" width="13.44140625" customWidth="1"/>
    <col min="13" max="13" width="9" customWidth="1"/>
    <col min="14" max="26" width="8.88671875" customWidth="1"/>
  </cols>
  <sheetData>
    <row r="1" spans="1:26" ht="14.25" customHeight="1" x14ac:dyDescent="0.3">
      <c r="A1" s="20"/>
      <c r="B1" s="21"/>
      <c r="C1" s="22" t="s">
        <v>98</v>
      </c>
      <c r="D1" s="23" t="s">
        <v>98</v>
      </c>
      <c r="E1" s="23" t="s">
        <v>98</v>
      </c>
      <c r="F1" s="23" t="s">
        <v>98</v>
      </c>
      <c r="G1" s="24" t="s">
        <v>98</v>
      </c>
      <c r="H1" s="25" t="s">
        <v>99</v>
      </c>
      <c r="I1" s="26" t="s">
        <v>99</v>
      </c>
      <c r="J1" s="26" t="s">
        <v>99</v>
      </c>
      <c r="K1" s="26" t="s">
        <v>99</v>
      </c>
      <c r="L1" s="27" t="s">
        <v>99</v>
      </c>
      <c r="M1" s="20"/>
      <c r="N1" s="20"/>
      <c r="O1" s="20"/>
      <c r="P1" s="20"/>
      <c r="Q1" s="20"/>
      <c r="R1" s="20"/>
      <c r="S1" s="20"/>
      <c r="T1" s="20"/>
      <c r="U1" s="20"/>
      <c r="V1" s="20"/>
      <c r="W1" s="20"/>
      <c r="X1" s="20"/>
      <c r="Y1" s="20"/>
      <c r="Z1" s="20"/>
    </row>
    <row r="2" spans="1:26" ht="14.25" customHeight="1" x14ac:dyDescent="0.3">
      <c r="A2" s="20"/>
      <c r="B2" s="28" t="s">
        <v>100</v>
      </c>
      <c r="C2" s="29">
        <v>44286</v>
      </c>
      <c r="D2" s="30">
        <v>44651</v>
      </c>
      <c r="E2" s="30">
        <v>45016</v>
      </c>
      <c r="F2" s="30">
        <v>45382</v>
      </c>
      <c r="G2" s="31">
        <v>45747</v>
      </c>
      <c r="H2" s="29">
        <v>46112</v>
      </c>
      <c r="I2" s="30">
        <v>46477</v>
      </c>
      <c r="J2" s="30">
        <v>46843</v>
      </c>
      <c r="K2" s="30">
        <v>47208</v>
      </c>
      <c r="L2" s="31">
        <v>47573</v>
      </c>
      <c r="M2" s="20"/>
      <c r="N2" s="20"/>
      <c r="O2" s="20"/>
      <c r="P2" s="20"/>
      <c r="Q2" s="20"/>
      <c r="R2" s="20"/>
      <c r="S2" s="20"/>
      <c r="T2" s="20"/>
      <c r="U2" s="20"/>
      <c r="V2" s="20"/>
      <c r="W2" s="20"/>
      <c r="X2" s="20"/>
      <c r="Y2" s="20"/>
      <c r="Z2" s="20"/>
    </row>
    <row r="3" spans="1:26" ht="14.25" customHeight="1" x14ac:dyDescent="0.3">
      <c r="A3" s="20"/>
      <c r="B3" s="32" t="s">
        <v>101</v>
      </c>
      <c r="C3" s="33">
        <v>2988.62</v>
      </c>
      <c r="D3" s="34">
        <v>4340.26</v>
      </c>
      <c r="E3" s="34">
        <v>6667.72</v>
      </c>
      <c r="F3" s="34">
        <v>7527.7</v>
      </c>
      <c r="G3" s="35">
        <v>8385.43</v>
      </c>
      <c r="H3" s="36">
        <f>G3*(1+'ASSUMPTIONS AND REASONING'!J5)</f>
        <v>9391.6816000000017</v>
      </c>
      <c r="I3" s="37">
        <f>H3*(1+'ASSUMPTIONS AND REASONING'!K5)</f>
        <v>10236.932944000002</v>
      </c>
      <c r="J3" s="37">
        <f>I3*(1+'ASSUMPTIONS AND REASONING'!L5)</f>
        <v>11260.626238400004</v>
      </c>
      <c r="K3" s="37">
        <f>J3*(1+'ASSUMPTIONS AND REASONING'!M5)</f>
        <v>12837.113911776005</v>
      </c>
      <c r="L3" s="38">
        <f>K3*(1+'ASSUMPTIONS AND REASONING'!N5)</f>
        <v>14891.052137660165</v>
      </c>
      <c r="M3" s="20"/>
      <c r="N3" s="20"/>
      <c r="O3" s="20"/>
      <c r="P3" s="20"/>
      <c r="Q3" s="20"/>
      <c r="R3" s="20"/>
      <c r="S3" s="20"/>
      <c r="T3" s="20"/>
      <c r="U3" s="20"/>
      <c r="V3" s="20"/>
      <c r="W3" s="20"/>
      <c r="X3" s="20"/>
      <c r="Y3" s="20"/>
      <c r="Z3" s="20"/>
    </row>
    <row r="4" spans="1:26" ht="14.25" customHeight="1" x14ac:dyDescent="0.3">
      <c r="A4" s="20"/>
      <c r="B4" s="32" t="s">
        <v>102</v>
      </c>
      <c r="C4" s="33">
        <v>0</v>
      </c>
      <c r="D4" s="34">
        <v>0</v>
      </c>
      <c r="E4" s="34">
        <v>0</v>
      </c>
      <c r="F4" s="34">
        <v>3.23</v>
      </c>
      <c r="G4" s="35">
        <v>1009.64</v>
      </c>
      <c r="H4" s="39">
        <f>'ASSUMPTIONS AND REASONING'!J6</f>
        <v>1010</v>
      </c>
      <c r="I4" s="40">
        <f>'ASSUMPTIONS AND REASONING'!K6</f>
        <v>1010</v>
      </c>
      <c r="J4" s="40">
        <f>'ASSUMPTIONS AND REASONING'!L6</f>
        <v>1010</v>
      </c>
      <c r="K4" s="40">
        <f>'ASSUMPTIONS AND REASONING'!M6</f>
        <v>1010</v>
      </c>
      <c r="L4" s="41">
        <f>'ASSUMPTIONS AND REASONING'!N6</f>
        <v>1010</v>
      </c>
      <c r="M4" s="20"/>
      <c r="N4" s="20"/>
      <c r="O4" s="20"/>
      <c r="P4" s="20"/>
      <c r="Q4" s="20"/>
      <c r="R4" s="20"/>
      <c r="S4" s="20"/>
      <c r="T4" s="42"/>
      <c r="U4" s="42"/>
      <c r="V4" s="42"/>
      <c r="W4" s="42"/>
      <c r="X4" s="42"/>
      <c r="Y4" s="42"/>
      <c r="Z4" s="42"/>
    </row>
    <row r="5" spans="1:26" ht="14.25" customHeight="1" x14ac:dyDescent="0.3">
      <c r="A5" s="20"/>
      <c r="B5" s="32" t="s">
        <v>103</v>
      </c>
      <c r="C5" s="33">
        <v>620.33000000000004</v>
      </c>
      <c r="D5" s="34">
        <v>983.67</v>
      </c>
      <c r="E5" s="34">
        <v>747.64</v>
      </c>
      <c r="F5" s="34">
        <v>1217.1500000000001</v>
      </c>
      <c r="G5" s="35">
        <v>1228.1600000000001</v>
      </c>
      <c r="H5" s="39">
        <f>G5*(1+'ASSUMPTIONS AND REASONING'!J7)</f>
        <v>1390.7220297882795</v>
      </c>
      <c r="I5" s="40">
        <f>H5*(1+'ASSUMPTIONS AND REASONING'!K7)</f>
        <v>1747.3946609753441</v>
      </c>
      <c r="J5" s="40">
        <f>I5*(1+'ASSUMPTIONS AND REASONING'!L7)</f>
        <v>1979.1421637211461</v>
      </c>
      <c r="K5" s="40">
        <f>J5*(1+'ASSUMPTIONS AND REASONING'!M7)</f>
        <v>2323.1518015144716</v>
      </c>
      <c r="L5" s="41">
        <f>K5*(1+'ASSUMPTIONS AND REASONING'!N7)</f>
        <v>2759.0586620744366</v>
      </c>
      <c r="M5" s="20"/>
      <c r="N5" s="20"/>
      <c r="O5" s="20"/>
      <c r="P5" s="20"/>
      <c r="Q5" s="20"/>
      <c r="R5" s="20"/>
      <c r="S5" s="20"/>
      <c r="T5" s="42"/>
      <c r="U5" s="42"/>
      <c r="V5" s="42"/>
      <c r="W5" s="42"/>
      <c r="X5" s="42"/>
      <c r="Y5" s="42"/>
      <c r="Z5" s="42"/>
    </row>
    <row r="6" spans="1:26" ht="14.25" customHeight="1" x14ac:dyDescent="0.3">
      <c r="A6" s="20"/>
      <c r="B6" s="32" t="s">
        <v>104</v>
      </c>
      <c r="C6" s="33">
        <v>0</v>
      </c>
      <c r="D6" s="34">
        <v>0</v>
      </c>
      <c r="E6" s="34">
        <v>0</v>
      </c>
      <c r="F6" s="34">
        <v>21.29</v>
      </c>
      <c r="G6" s="35">
        <v>25.77</v>
      </c>
      <c r="H6" s="39">
        <f>'ASSUMPTIONS AND REASONING'!J8</f>
        <v>25.77</v>
      </c>
      <c r="I6" s="40">
        <f>'ASSUMPTIONS AND REASONING'!K8</f>
        <v>25.77</v>
      </c>
      <c r="J6" s="40">
        <f>'ASSUMPTIONS AND REASONING'!L8</f>
        <v>25.77</v>
      </c>
      <c r="K6" s="40">
        <f>'ASSUMPTIONS AND REASONING'!M8</f>
        <v>25.77</v>
      </c>
      <c r="L6" s="41">
        <f>'ASSUMPTIONS AND REASONING'!N8</f>
        <v>25.77</v>
      </c>
      <c r="M6" s="20"/>
      <c r="N6" s="20"/>
      <c r="O6" s="20"/>
      <c r="P6" s="20"/>
      <c r="Q6" s="20"/>
      <c r="R6" s="20"/>
      <c r="S6" s="20"/>
      <c r="T6" s="20"/>
      <c r="U6" s="20"/>
      <c r="V6" s="20"/>
      <c r="W6" s="20"/>
      <c r="X6" s="20"/>
      <c r="Y6" s="20"/>
      <c r="Z6" s="20"/>
    </row>
    <row r="7" spans="1:26" ht="14.25" customHeight="1" x14ac:dyDescent="0.3">
      <c r="A7" s="20"/>
      <c r="B7" s="32" t="s">
        <v>105</v>
      </c>
      <c r="C7" s="33">
        <v>432.63</v>
      </c>
      <c r="D7" s="34">
        <v>393.68</v>
      </c>
      <c r="E7" s="34">
        <v>168.67</v>
      </c>
      <c r="F7" s="34">
        <v>298.64</v>
      </c>
      <c r="G7" s="35">
        <v>547.04</v>
      </c>
      <c r="H7" s="39">
        <f>'ASSUMPTIONS AND REASONING'!J9</f>
        <v>574</v>
      </c>
      <c r="I7" s="40">
        <f>'ASSUMPTIONS AND REASONING'!K9</f>
        <v>279</v>
      </c>
      <c r="J7" s="40">
        <f>'ASSUMPTIONS AND REASONING'!L9</f>
        <v>196</v>
      </c>
      <c r="K7" s="40">
        <f>'ASSUMPTIONS AND REASONING'!M9</f>
        <v>202</v>
      </c>
      <c r="L7" s="41">
        <f>'ASSUMPTIONS AND REASONING'!N9</f>
        <v>208</v>
      </c>
      <c r="M7" s="20"/>
      <c r="N7" s="20"/>
      <c r="O7" s="20"/>
      <c r="P7" s="20"/>
      <c r="Q7" s="20"/>
      <c r="R7" s="20"/>
      <c r="S7" s="20"/>
      <c r="T7" s="43"/>
      <c r="U7" s="43"/>
      <c r="V7" s="43"/>
      <c r="W7" s="43"/>
      <c r="X7" s="43"/>
      <c r="Y7" s="43"/>
      <c r="Z7" s="43"/>
    </row>
    <row r="8" spans="1:26" ht="14.25" customHeight="1" x14ac:dyDescent="0.3">
      <c r="A8" s="20"/>
      <c r="B8" s="32" t="s">
        <v>106</v>
      </c>
      <c r="C8" s="33">
        <v>6.24</v>
      </c>
      <c r="D8" s="34">
        <v>15.67</v>
      </c>
      <c r="E8" s="34">
        <v>243.15</v>
      </c>
      <c r="F8" s="34">
        <v>398.57</v>
      </c>
      <c r="G8" s="35">
        <v>235.84</v>
      </c>
      <c r="H8" s="36">
        <f>'ASSUMPTIONS AND REASONING'!J10</f>
        <v>292.52000000000004</v>
      </c>
      <c r="I8" s="37">
        <f>'ASSUMPTIONS AND REASONING'!K10</f>
        <v>308.97666666666669</v>
      </c>
      <c r="J8" s="37">
        <f>'ASSUMPTIONS AND REASONING'!L10</f>
        <v>279.11222222222221</v>
      </c>
      <c r="K8" s="37">
        <f>'ASSUMPTIONS AND REASONING'!M10</f>
        <v>293.53629629629631</v>
      </c>
      <c r="L8" s="38">
        <f>'ASSUMPTIONS AND REASONING'!N10</f>
        <v>293.87506172839511</v>
      </c>
      <c r="M8" s="20"/>
      <c r="N8" s="20"/>
      <c r="O8" s="20"/>
      <c r="P8" s="20"/>
      <c r="Q8" s="20"/>
      <c r="R8" s="20"/>
      <c r="S8" s="20"/>
      <c r="T8" s="43"/>
      <c r="U8" s="43"/>
      <c r="V8" s="43"/>
      <c r="W8" s="43"/>
      <c r="X8" s="43"/>
      <c r="Y8" s="43"/>
      <c r="Z8" s="43"/>
    </row>
    <row r="9" spans="1:26" ht="14.25" customHeight="1" x14ac:dyDescent="0.3">
      <c r="A9" s="44"/>
      <c r="B9" s="45" t="s">
        <v>107</v>
      </c>
      <c r="C9" s="46">
        <f t="shared" ref="C9:L9" si="0">SUM(C3:C8)</f>
        <v>4047.8199999999997</v>
      </c>
      <c r="D9" s="47">
        <f t="shared" si="0"/>
        <v>5733.2800000000007</v>
      </c>
      <c r="E9" s="47">
        <f t="shared" si="0"/>
        <v>7827.18</v>
      </c>
      <c r="F9" s="47">
        <f t="shared" si="0"/>
        <v>9466.58</v>
      </c>
      <c r="G9" s="48">
        <f t="shared" si="0"/>
        <v>11431.880000000001</v>
      </c>
      <c r="H9" s="46">
        <f t="shared" si="0"/>
        <v>12684.693629788282</v>
      </c>
      <c r="I9" s="47">
        <f t="shared" si="0"/>
        <v>13608.074271642014</v>
      </c>
      <c r="J9" s="47">
        <f t="shared" si="0"/>
        <v>14750.650624343372</v>
      </c>
      <c r="K9" s="47">
        <f t="shared" si="0"/>
        <v>16691.572009586773</v>
      </c>
      <c r="L9" s="48">
        <f t="shared" si="0"/>
        <v>19187.755861462996</v>
      </c>
      <c r="M9" s="44"/>
      <c r="N9" s="20"/>
      <c r="O9" s="20"/>
      <c r="P9" s="20"/>
      <c r="Q9" s="20"/>
      <c r="R9" s="20"/>
      <c r="S9" s="20"/>
      <c r="T9" s="20"/>
      <c r="U9" s="20"/>
      <c r="V9" s="20"/>
      <c r="W9" s="20"/>
      <c r="X9" s="20"/>
      <c r="Y9" s="20"/>
      <c r="Z9" s="20"/>
    </row>
    <row r="10" spans="1:26" ht="14.25" customHeight="1" x14ac:dyDescent="0.3">
      <c r="A10" s="49"/>
      <c r="B10" s="50" t="s">
        <v>108</v>
      </c>
      <c r="C10" s="51"/>
      <c r="D10" s="52">
        <f t="shared" ref="D10:L10" si="1">D9/C9-1</f>
        <v>0.41638709231141724</v>
      </c>
      <c r="E10" s="52">
        <f t="shared" si="1"/>
        <v>0.3652185136605921</v>
      </c>
      <c r="F10" s="52">
        <f t="shared" si="1"/>
        <v>0.20944963575642817</v>
      </c>
      <c r="G10" s="53">
        <f t="shared" si="1"/>
        <v>0.20760401327617806</v>
      </c>
      <c r="H10" s="54">
        <f t="shared" si="1"/>
        <v>0.10958946645593559</v>
      </c>
      <c r="I10" s="52">
        <f t="shared" si="1"/>
        <v>7.2794871425613028E-2</v>
      </c>
      <c r="J10" s="52">
        <f t="shared" si="1"/>
        <v>8.3963118505487877E-2</v>
      </c>
      <c r="K10" s="52">
        <f t="shared" si="1"/>
        <v>0.13158208642269975</v>
      </c>
      <c r="L10" s="53">
        <f t="shared" si="1"/>
        <v>0.14954755911801154</v>
      </c>
      <c r="M10" s="49"/>
      <c r="N10" s="49"/>
      <c r="O10" s="49"/>
      <c r="P10" s="49"/>
      <c r="Q10" s="49"/>
      <c r="R10" s="49"/>
      <c r="S10" s="49"/>
      <c r="T10" s="49"/>
      <c r="U10" s="49"/>
      <c r="V10" s="49"/>
      <c r="W10" s="49"/>
      <c r="X10" s="49"/>
      <c r="Y10" s="49"/>
      <c r="Z10" s="49"/>
    </row>
    <row r="11" spans="1:26" ht="14.25" customHeight="1" x14ac:dyDescent="0.3">
      <c r="A11" s="20"/>
      <c r="B11" s="55"/>
      <c r="C11" s="56"/>
      <c r="D11" s="20"/>
      <c r="E11" s="20"/>
      <c r="F11" s="20"/>
      <c r="G11" s="57"/>
      <c r="H11" s="56"/>
      <c r="I11" s="20"/>
      <c r="J11" s="20"/>
      <c r="K11" s="20"/>
      <c r="L11" s="57"/>
      <c r="M11" s="20"/>
      <c r="N11" s="20"/>
      <c r="O11" s="20"/>
      <c r="P11" s="20"/>
      <c r="Q11" s="20"/>
      <c r="R11" s="20"/>
      <c r="S11" s="20"/>
      <c r="T11" s="43"/>
      <c r="U11" s="43"/>
      <c r="V11" s="43"/>
      <c r="W11" s="43"/>
      <c r="X11" s="43"/>
      <c r="Y11" s="43"/>
      <c r="Z11" s="43"/>
    </row>
    <row r="12" spans="1:26" ht="14.25" customHeight="1" x14ac:dyDescent="0.3">
      <c r="A12" s="20"/>
      <c r="B12" s="32" t="s">
        <v>109</v>
      </c>
      <c r="C12" s="39">
        <v>2279.0700000000002</v>
      </c>
      <c r="D12" s="40">
        <v>3122.42</v>
      </c>
      <c r="E12" s="40">
        <v>4900.93</v>
      </c>
      <c r="F12" s="40">
        <v>5464.08</v>
      </c>
      <c r="G12" s="41">
        <v>5851.68</v>
      </c>
      <c r="H12" s="39">
        <f>SUM(H3,H4,H6,H7)*'ASSUMPTIONS AND REASONING'!J11</f>
        <v>7334.0337551229959</v>
      </c>
      <c r="I12" s="40">
        <f>SUM(I3,I4,I6,I7)*'ASSUMPTIONS AND REASONING'!K11</f>
        <v>7507.3781339625775</v>
      </c>
      <c r="J12" s="40">
        <f>SUM(J3,J4,J6,J7)*'ASSUMPTIONS AND REASONING'!L11</f>
        <v>7926.7985731130866</v>
      </c>
      <c r="K12" s="40">
        <f>SUM(K3,K4,K6,K7)*'ASSUMPTIONS AND REASONING'!M11</f>
        <v>9153.6751969853412</v>
      </c>
      <c r="L12" s="41">
        <f>SUM(L3,L4,L6,L7)*'ASSUMPTIONS AND REASONING'!N11</f>
        <v>10405.770540036434</v>
      </c>
      <c r="M12" s="20"/>
      <c r="N12" s="20"/>
      <c r="O12" s="20"/>
      <c r="P12" s="20"/>
      <c r="Q12" s="20"/>
      <c r="R12" s="20"/>
      <c r="S12" s="20"/>
      <c r="T12" s="20"/>
      <c r="U12" s="20"/>
      <c r="V12" s="20"/>
      <c r="W12" s="20"/>
      <c r="X12" s="20"/>
      <c r="Y12" s="20"/>
      <c r="Z12" s="20"/>
    </row>
    <row r="13" spans="1:26" ht="14.25" customHeight="1" x14ac:dyDescent="0.3">
      <c r="A13" s="20"/>
      <c r="B13" s="32" t="s">
        <v>110</v>
      </c>
      <c r="C13" s="33">
        <v>578.33000000000004</v>
      </c>
      <c r="D13" s="34">
        <v>913.65</v>
      </c>
      <c r="E13" s="34">
        <v>693.22</v>
      </c>
      <c r="F13" s="34">
        <v>1145.83</v>
      </c>
      <c r="G13" s="35">
        <v>1151.6400000000001</v>
      </c>
      <c r="H13" s="39">
        <f>H5*'ASSUMPTIONS AND REASONING'!J12</f>
        <v>1300.9325982247206</v>
      </c>
      <c r="I13" s="40">
        <f>I5*'ASSUMPTIONS AND REASONING'!K12</f>
        <v>1639.3685898965784</v>
      </c>
      <c r="J13" s="40">
        <f>J5*'ASSUMPTIONS AND REASONING'!L12</f>
        <v>1854.6613898556507</v>
      </c>
      <c r="K13" s="40">
        <f>K5*'ASSUMPTIONS AND REASONING'!M12</f>
        <v>2176.5758493867097</v>
      </c>
      <c r="L13" s="41">
        <f>L5*'ASSUMPTIONS AND REASONING'!N12</f>
        <v>2586.3313599662129</v>
      </c>
      <c r="M13" s="20"/>
      <c r="N13" s="20"/>
      <c r="O13" s="20"/>
      <c r="P13" s="20"/>
      <c r="Q13" s="20"/>
      <c r="R13" s="20"/>
      <c r="S13" s="20"/>
      <c r="T13" s="43"/>
      <c r="U13" s="43"/>
      <c r="V13" s="43"/>
      <c r="W13" s="43"/>
      <c r="X13" s="43"/>
      <c r="Y13" s="43"/>
      <c r="Z13" s="43"/>
    </row>
    <row r="14" spans="1:26" ht="14.25" customHeight="1" x14ac:dyDescent="0.3">
      <c r="A14" s="20"/>
      <c r="B14" s="32"/>
      <c r="C14" s="33"/>
      <c r="D14" s="34"/>
      <c r="E14" s="34"/>
      <c r="F14" s="34"/>
      <c r="G14" s="35"/>
      <c r="H14" s="58"/>
      <c r="I14" s="59"/>
      <c r="J14" s="59"/>
      <c r="K14" s="59"/>
      <c r="L14" s="60"/>
      <c r="M14" s="20"/>
      <c r="N14" s="20"/>
      <c r="O14" s="20"/>
      <c r="P14" s="20"/>
      <c r="Q14" s="20"/>
      <c r="R14" s="20"/>
      <c r="S14" s="20"/>
      <c r="T14" s="43"/>
      <c r="U14" s="43"/>
      <c r="V14" s="43"/>
      <c r="W14" s="43"/>
      <c r="X14" s="43"/>
      <c r="Y14" s="43"/>
      <c r="Z14" s="43"/>
    </row>
    <row r="15" spans="1:26" ht="14.25" customHeight="1" x14ac:dyDescent="0.3">
      <c r="A15" s="20"/>
      <c r="B15" s="32" t="s">
        <v>111</v>
      </c>
      <c r="C15" s="33">
        <v>470.21</v>
      </c>
      <c r="D15" s="34">
        <v>615.9</v>
      </c>
      <c r="E15" s="34">
        <v>626.03</v>
      </c>
      <c r="F15" s="34">
        <v>690.19</v>
      </c>
      <c r="G15" s="35">
        <v>730.25</v>
      </c>
      <c r="H15" s="39">
        <f>'ASSUMPTIONS AND REASONING'!J14*H21</f>
        <v>822.83258742368696</v>
      </c>
      <c r="I15" s="40">
        <f>'ASSUMPTIONS AND REASONING'!K14*I21</f>
        <v>889.78781182775356</v>
      </c>
      <c r="J15" s="40">
        <f>'ASSUMPTIONS AND REASONING'!L14*J21</f>
        <v>966.5909083883613</v>
      </c>
      <c r="K15" s="40">
        <f>'ASSUMPTIONS AND REASONING'!M14*K21</f>
        <v>1061.2229062657759</v>
      </c>
      <c r="L15" s="41">
        <f>'ASSUMPTIONS AND REASONING'!N14*L21</f>
        <v>1155.136114984907</v>
      </c>
      <c r="M15" s="20"/>
      <c r="N15" s="20"/>
      <c r="O15" s="20"/>
      <c r="P15" s="20"/>
      <c r="Q15" s="20"/>
      <c r="R15" s="20"/>
      <c r="S15" s="20"/>
      <c r="T15" s="43"/>
      <c r="U15" s="43"/>
      <c r="V15" s="43"/>
      <c r="W15" s="43"/>
      <c r="X15" s="43"/>
      <c r="Y15" s="43"/>
      <c r="Z15" s="43"/>
    </row>
    <row r="16" spans="1:26" ht="14.25" customHeight="1" x14ac:dyDescent="0.3">
      <c r="A16" s="20"/>
      <c r="B16" s="32" t="s">
        <v>112</v>
      </c>
      <c r="C16" s="33">
        <v>19.16</v>
      </c>
      <c r="D16" s="34">
        <v>20.83</v>
      </c>
      <c r="E16" s="34">
        <v>22.36</v>
      </c>
      <c r="F16" s="34">
        <v>22.95</v>
      </c>
      <c r="G16" s="35">
        <v>55.74</v>
      </c>
      <c r="H16" s="39">
        <f>'ASSUMPTIONS AND REASONING'!J15*H21</f>
        <v>39.525697526048454</v>
      </c>
      <c r="I16" s="40">
        <f>'ASSUMPTIONS AND REASONING'!K15*I21</f>
        <v>46.531219690508813</v>
      </c>
      <c r="J16" s="40">
        <f>'ASSUMPTIONS AND REASONING'!L15*J21</f>
        <v>56.773064585731724</v>
      </c>
      <c r="K16" s="40">
        <f>'ASSUMPTIONS AND REASONING'!M15*K21</f>
        <v>56.24456550789462</v>
      </c>
      <c r="L16" s="41">
        <f>'ASSUMPTIONS AND REASONING'!N15*L21</f>
        <v>63.152025002729751</v>
      </c>
      <c r="M16" s="20"/>
      <c r="N16" s="20"/>
      <c r="O16" s="20"/>
      <c r="P16" s="20"/>
      <c r="Q16" s="20"/>
      <c r="R16" s="20"/>
      <c r="S16" s="20"/>
      <c r="T16" s="43"/>
      <c r="U16" s="43"/>
      <c r="V16" s="43"/>
      <c r="W16" s="43"/>
      <c r="X16" s="43"/>
      <c r="Y16" s="43"/>
      <c r="Z16" s="43"/>
    </row>
    <row r="17" spans="1:26" ht="14.25" customHeight="1" x14ac:dyDescent="0.3">
      <c r="A17" s="20"/>
      <c r="B17" s="32" t="s">
        <v>113</v>
      </c>
      <c r="C17" s="33">
        <v>41.99</v>
      </c>
      <c r="D17" s="34">
        <v>41.6</v>
      </c>
      <c r="E17" s="34">
        <v>40.53</v>
      </c>
      <c r="F17" s="34">
        <v>41.94</v>
      </c>
      <c r="G17" s="35">
        <v>43.47</v>
      </c>
      <c r="H17" s="39">
        <f>'ASSUMPTIONS AND REASONING'!J16*H21</f>
        <v>50.790839337531523</v>
      </c>
      <c r="I17" s="40">
        <f>'ASSUMPTIONS AND REASONING'!K16*I21</f>
        <v>53.996534093112793</v>
      </c>
      <c r="J17" s="40">
        <f>'ASSUMPTIONS AND REASONING'!L16*J21</f>
        <v>58.630781860908399</v>
      </c>
      <c r="K17" s="40">
        <f>'ASSUMPTIONS AND REASONING'!M16*K21</f>
        <v>64.761722982131715</v>
      </c>
      <c r="L17" s="41">
        <f>'ASSUMPTIONS AND REASONING'!N16*L21</f>
        <v>70.220148128687342</v>
      </c>
      <c r="M17" s="20"/>
      <c r="N17" s="20"/>
      <c r="O17" s="20"/>
      <c r="P17" s="20"/>
      <c r="Q17" s="20"/>
      <c r="R17" s="20"/>
      <c r="S17" s="20"/>
      <c r="T17" s="43"/>
      <c r="U17" s="43"/>
      <c r="V17" s="43"/>
      <c r="W17" s="43"/>
      <c r="X17" s="43"/>
      <c r="Y17" s="43"/>
      <c r="Z17" s="43"/>
    </row>
    <row r="18" spans="1:26" ht="14.25" customHeight="1" x14ac:dyDescent="0.3">
      <c r="A18" s="20"/>
      <c r="B18" s="32" t="s">
        <v>114</v>
      </c>
      <c r="C18" s="33">
        <v>73.67</v>
      </c>
      <c r="D18" s="34">
        <v>83.69</v>
      </c>
      <c r="E18" s="34">
        <v>68.099999999999994</v>
      </c>
      <c r="F18" s="34">
        <v>98.78</v>
      </c>
      <c r="G18" s="35">
        <v>97.95</v>
      </c>
      <c r="H18" s="39">
        <f>'ASSUMPTIONS AND REASONING'!J17*H21</f>
        <v>105.69262527637086</v>
      </c>
      <c r="I18" s="40">
        <f>'ASSUMPTIONS AND REASONING'!K17*I21</f>
        <v>120.34307679278334</v>
      </c>
      <c r="J18" s="40">
        <f>'ASSUMPTIONS AND REASONING'!L17*J21</f>
        <v>128.15754353140341</v>
      </c>
      <c r="K18" s="40">
        <f>'ASSUMPTIONS AND REASONING'!M17*K21</f>
        <v>140.17005480634884</v>
      </c>
      <c r="L18" s="41">
        <f>'ASSUMPTIONS AND REASONING'!N17*L21</f>
        <v>153.98742025481562</v>
      </c>
      <c r="M18" s="20"/>
      <c r="N18" s="20"/>
      <c r="O18" s="20"/>
      <c r="P18" s="20"/>
      <c r="Q18" s="20"/>
      <c r="R18" s="20"/>
      <c r="S18" s="20"/>
      <c r="T18" s="43"/>
      <c r="U18" s="43"/>
      <c r="V18" s="43"/>
      <c r="W18" s="43"/>
      <c r="X18" s="43"/>
      <c r="Y18" s="43"/>
      <c r="Z18" s="43"/>
    </row>
    <row r="19" spans="1:26" ht="14.25" customHeight="1" x14ac:dyDescent="0.3">
      <c r="A19" s="20"/>
      <c r="B19" s="32" t="s">
        <v>115</v>
      </c>
      <c r="C19" s="33">
        <v>20.43</v>
      </c>
      <c r="D19" s="34">
        <v>8.9499999999999993</v>
      </c>
      <c r="E19" s="34">
        <v>9.3800000000000008</v>
      </c>
      <c r="F19" s="34">
        <v>10.65</v>
      </c>
      <c r="G19" s="35">
        <v>12.86</v>
      </c>
      <c r="H19" s="39">
        <f>'ASSUMPTIONS AND REASONING'!J18*H21</f>
        <v>13.151126516416365</v>
      </c>
      <c r="I19" s="40">
        <f>'ASSUMPTIONS AND REASONING'!K18*I21</f>
        <v>14.528677367081116</v>
      </c>
      <c r="J19" s="40">
        <f>'ASSUMPTIONS AND REASONING'!L18*J21</f>
        <v>16.076214124448374</v>
      </c>
      <c r="K19" s="40">
        <f>'ASSUMPTIONS AND REASONING'!M18*K21</f>
        <v>17.311603370308482</v>
      </c>
      <c r="L19" s="41">
        <f>'ASSUMPTIONS AND REASONING'!N18*L21</f>
        <v>18.97196871720757</v>
      </c>
      <c r="M19" s="20"/>
      <c r="N19" s="20"/>
      <c r="O19" s="20"/>
      <c r="P19" s="20"/>
      <c r="Q19" s="20"/>
      <c r="R19" s="20"/>
      <c r="S19" s="20"/>
      <c r="T19" s="43"/>
      <c r="U19" s="43"/>
      <c r="V19" s="43"/>
      <c r="W19" s="43"/>
      <c r="X19" s="43"/>
      <c r="Y19" s="43"/>
      <c r="Z19" s="43"/>
    </row>
    <row r="20" spans="1:26" ht="14.25" customHeight="1" x14ac:dyDescent="0.3">
      <c r="A20" s="20"/>
      <c r="B20" s="32" t="s">
        <v>116</v>
      </c>
      <c r="C20" s="33">
        <v>27.35</v>
      </c>
      <c r="D20" s="34">
        <v>27.76</v>
      </c>
      <c r="E20" s="34">
        <v>26.31</v>
      </c>
      <c r="F20" s="34">
        <v>32.04</v>
      </c>
      <c r="G20" s="35">
        <v>38.479999999999997</v>
      </c>
      <c r="H20" s="39">
        <f>'ASSUMPTIONS AND REASONING'!J19*H21</f>
        <v>38.628885569811295</v>
      </c>
      <c r="I20" s="40">
        <f>'ASSUMPTIONS AND REASONING'!K19*I21</f>
        <v>43.285386430085083</v>
      </c>
      <c r="J20" s="40">
        <f>'ASSUMPTIONS AND REASONING'!L19*J21</f>
        <v>47.748957266491679</v>
      </c>
      <c r="K20" s="40">
        <f>'ASSUMPTIONS AND REASONING'!M19*K21</f>
        <v>51.283856493112914</v>
      </c>
      <c r="L20" s="41">
        <f>'ASSUMPTIONS AND REASONING'!N19*L21</f>
        <v>56.358458888967824</v>
      </c>
      <c r="M20" s="20"/>
      <c r="N20" s="20"/>
      <c r="O20" s="20"/>
      <c r="P20" s="20"/>
      <c r="Q20" s="20"/>
      <c r="R20" s="20"/>
      <c r="S20" s="20"/>
      <c r="T20" s="43"/>
      <c r="U20" s="43"/>
      <c r="V20" s="43"/>
      <c r="W20" s="43"/>
      <c r="X20" s="43"/>
      <c r="Y20" s="43"/>
      <c r="Z20" s="43"/>
    </row>
    <row r="21" spans="1:26" ht="14.25" customHeight="1" x14ac:dyDescent="0.3">
      <c r="A21" s="43"/>
      <c r="B21" s="45" t="s">
        <v>117</v>
      </c>
      <c r="C21" s="46">
        <f>SUM(C15:C20)</f>
        <v>652.80999999999995</v>
      </c>
      <c r="D21" s="47">
        <f>SUM(D15:D20)</f>
        <v>798.73</v>
      </c>
      <c r="E21" s="47">
        <f>SUM(E15:E20)</f>
        <v>792.70999999999992</v>
      </c>
      <c r="F21" s="47">
        <f>SUM(F15:F20)</f>
        <v>896.55000000000007</v>
      </c>
      <c r="G21" s="48">
        <f>SUM(G15:G20)</f>
        <v>978.75000000000011</v>
      </c>
      <c r="H21" s="46">
        <f>G21*(1+'ASSUMPTIONS AND REASONING'!J13)</f>
        <v>1070.6217616498654</v>
      </c>
      <c r="I21" s="47">
        <f>H21*(1+'ASSUMPTIONS AND REASONING'!K13)</f>
        <v>1168.4727062013249</v>
      </c>
      <c r="J21" s="47">
        <f>I21*(1+'ASSUMPTIONS AND REASONING'!L13)</f>
        <v>1273.977469757345</v>
      </c>
      <c r="K21" s="47">
        <f>J21*(1+'ASSUMPTIONS AND REASONING'!M13)</f>
        <v>1390.9947094255726</v>
      </c>
      <c r="L21" s="48">
        <f>K21*(1+'ASSUMPTIONS AND REASONING'!N13)</f>
        <v>1517.8261359773153</v>
      </c>
      <c r="M21" s="43"/>
      <c r="N21" s="43"/>
      <c r="O21" s="43"/>
      <c r="P21" s="43"/>
      <c r="Q21" s="43"/>
      <c r="R21" s="43"/>
      <c r="S21" s="43"/>
      <c r="T21" s="43"/>
      <c r="U21" s="43"/>
      <c r="V21" s="43"/>
      <c r="W21" s="43"/>
      <c r="X21" s="43"/>
      <c r="Y21" s="43"/>
      <c r="Z21" s="43"/>
    </row>
    <row r="22" spans="1:26" ht="14.25" customHeight="1" x14ac:dyDescent="0.3">
      <c r="A22" s="20"/>
      <c r="B22" s="32"/>
      <c r="C22" s="33"/>
      <c r="D22" s="34"/>
      <c r="E22" s="34"/>
      <c r="F22" s="34"/>
      <c r="G22" s="35"/>
      <c r="H22" s="58"/>
      <c r="I22" s="59"/>
      <c r="J22" s="59"/>
      <c r="K22" s="59"/>
      <c r="L22" s="60"/>
      <c r="M22" s="20"/>
      <c r="N22" s="20"/>
      <c r="O22" s="20"/>
      <c r="P22" s="20"/>
      <c r="Q22" s="20"/>
      <c r="R22" s="20"/>
      <c r="S22" s="20"/>
      <c r="T22" s="20"/>
      <c r="U22" s="20"/>
      <c r="V22" s="20"/>
      <c r="W22" s="20"/>
      <c r="X22" s="20"/>
      <c r="Y22" s="20"/>
      <c r="Z22" s="20"/>
    </row>
    <row r="23" spans="1:26" ht="14.25" customHeight="1" x14ac:dyDescent="0.3">
      <c r="A23" s="20"/>
      <c r="B23" s="32" t="s">
        <v>118</v>
      </c>
      <c r="C23" s="33">
        <v>11.37</v>
      </c>
      <c r="D23" s="34">
        <v>14.73</v>
      </c>
      <c r="E23" s="34">
        <v>16.46</v>
      </c>
      <c r="F23" s="34">
        <v>17.690000000000001</v>
      </c>
      <c r="G23" s="35">
        <v>19.649999999999999</v>
      </c>
      <c r="H23" s="39">
        <f>H9*'ASSUMPTIONS AND REASONING'!J20</f>
        <v>24.060686182176354</v>
      </c>
      <c r="I23" s="40">
        <f>I9*'ASSUMPTIONS AND REASONING'!K20</f>
        <v>24.877305187070423</v>
      </c>
      <c r="J23" s="40">
        <f>J9*'ASSUMPTIONS AND REASONING'!L20</f>
        <v>26.766697670759346</v>
      </c>
      <c r="K23" s="40">
        <f>K9*'ASSUMPTIONS AND REASONING'!M20</f>
        <v>30.82136558012186</v>
      </c>
      <c r="L23" s="41">
        <f>L9*'ASSUMPTIONS AND REASONING'!N20</f>
        <v>35.108874485677099</v>
      </c>
      <c r="M23" s="20"/>
      <c r="N23" s="20"/>
      <c r="O23" s="20"/>
      <c r="P23" s="20"/>
      <c r="Q23" s="20"/>
      <c r="R23" s="20"/>
      <c r="S23" s="20"/>
      <c r="T23" s="20"/>
      <c r="U23" s="20"/>
      <c r="V23" s="20"/>
      <c r="W23" s="20"/>
      <c r="X23" s="20"/>
      <c r="Y23" s="20"/>
      <c r="Z23" s="20"/>
    </row>
    <row r="24" spans="1:26" ht="14.25" customHeight="1" x14ac:dyDescent="0.3">
      <c r="A24" s="20"/>
      <c r="B24" s="32" t="s">
        <v>119</v>
      </c>
      <c r="C24" s="33">
        <v>168.35</v>
      </c>
      <c r="D24" s="34">
        <v>164.34</v>
      </c>
      <c r="E24" s="34">
        <v>288.75</v>
      </c>
      <c r="F24" s="34">
        <v>166.82</v>
      </c>
      <c r="G24" s="35">
        <v>299.62</v>
      </c>
      <c r="H24" s="39">
        <f>H12*'ASSUMPTIONS AND REASONING'!J21</f>
        <v>343.8441413525577</v>
      </c>
      <c r="I24" s="40">
        <f>I12*'ASSUMPTIONS AND REASONING'!K21</f>
        <v>321.85643791635596</v>
      </c>
      <c r="J24" s="40">
        <f>J12*'ASSUMPTIONS AND REASONING'!L21</f>
        <v>372.44793840055792</v>
      </c>
      <c r="K24" s="40">
        <f>K12*'ASSUMPTIONS AND REASONING'!M21</f>
        <v>417.22847511832691</v>
      </c>
      <c r="L24" s="41">
        <f>L12*'ASSUMPTIONS AND REASONING'!N21</f>
        <v>469.78020282969464</v>
      </c>
      <c r="M24" s="20"/>
      <c r="N24" s="20"/>
      <c r="O24" s="20"/>
      <c r="P24" s="20"/>
      <c r="Q24" s="20"/>
      <c r="R24" s="20"/>
      <c r="S24" s="20"/>
      <c r="T24" s="20"/>
      <c r="U24" s="20"/>
      <c r="V24" s="20"/>
      <c r="W24" s="20"/>
      <c r="X24" s="20"/>
      <c r="Y24" s="20"/>
      <c r="Z24" s="20"/>
    </row>
    <row r="25" spans="1:26" ht="14.25" customHeight="1" x14ac:dyDescent="0.3">
      <c r="A25" s="20"/>
      <c r="B25" s="32" t="s">
        <v>120</v>
      </c>
      <c r="C25" s="33">
        <v>114.2</v>
      </c>
      <c r="D25" s="34">
        <v>182.16</v>
      </c>
      <c r="E25" s="34">
        <v>219.92</v>
      </c>
      <c r="F25" s="34">
        <v>195.5</v>
      </c>
      <c r="G25" s="35">
        <v>323.77</v>
      </c>
      <c r="H25" s="39">
        <f>H9*'ASSUMPTIONS AND REASONING'!J22</f>
        <v>325.87078595981711</v>
      </c>
      <c r="I25" s="40">
        <f>I9*'ASSUMPTIONS AND REASONING'!K22</f>
        <v>338.67481651143936</v>
      </c>
      <c r="J25" s="40">
        <f>J9*'ASSUMPTIONS AND REASONING'!L22</f>
        <v>387.93984709575381</v>
      </c>
      <c r="K25" s="40">
        <f>K9*'ASSUMPTIONS AND REASONING'!M22</f>
        <v>427.73661134516431</v>
      </c>
      <c r="L25" s="41">
        <f>L9*'ASSUMPTIONS AND REASONING'!N22</f>
        <v>491.29311310612349</v>
      </c>
      <c r="M25" s="20"/>
      <c r="N25" s="20"/>
      <c r="O25" s="20"/>
      <c r="P25" s="20"/>
      <c r="Q25" s="20"/>
      <c r="R25" s="20"/>
      <c r="S25" s="20"/>
      <c r="T25" s="20"/>
      <c r="U25" s="20"/>
      <c r="V25" s="20"/>
      <c r="W25" s="20"/>
      <c r="X25" s="20"/>
      <c r="Y25" s="20"/>
      <c r="Z25" s="20"/>
    </row>
    <row r="26" spans="1:26" ht="14.25" customHeight="1" x14ac:dyDescent="0.3">
      <c r="A26" s="20"/>
      <c r="B26" s="32" t="s">
        <v>121</v>
      </c>
      <c r="C26" s="33">
        <v>19.82</v>
      </c>
      <c r="D26" s="34">
        <v>102.55</v>
      </c>
      <c r="E26" s="34">
        <v>117.39</v>
      </c>
      <c r="F26" s="34">
        <v>168.5</v>
      </c>
      <c r="G26" s="35">
        <v>746.75</v>
      </c>
      <c r="H26" s="39">
        <f>'ASSUMPTIONS AND REASONING'!J23</f>
        <v>468</v>
      </c>
      <c r="I26" s="40">
        <f>'ASSUMPTIONS AND REASONING'!K23</f>
        <v>165</v>
      </c>
      <c r="J26" s="40">
        <f>'ASSUMPTIONS AND REASONING'!L23</f>
        <v>178.8539145534055</v>
      </c>
      <c r="K26" s="40">
        <f>'ASSUMPTIONS AND REASONING'!M23</f>
        <v>202.38788579520985</v>
      </c>
      <c r="L26" s="41">
        <f>'ASSUMPTIONS AND REASONING'!N23</f>
        <v>232.65450011093836</v>
      </c>
      <c r="M26" s="20"/>
      <c r="N26" s="20"/>
      <c r="O26" s="20"/>
      <c r="P26" s="20"/>
      <c r="Q26" s="20"/>
      <c r="R26" s="20"/>
      <c r="S26" s="20"/>
      <c r="T26" s="20"/>
      <c r="U26" s="20"/>
      <c r="V26" s="20"/>
      <c r="W26" s="20"/>
      <c r="X26" s="20"/>
      <c r="Y26" s="20"/>
      <c r="Z26" s="20"/>
    </row>
    <row r="27" spans="1:26" ht="14.25" customHeight="1" x14ac:dyDescent="0.3">
      <c r="A27" s="44"/>
      <c r="B27" s="45" t="s">
        <v>122</v>
      </c>
      <c r="C27" s="46">
        <f t="shared" ref="C27:L27" si="2">SUM(C21:C26,C12:C13)</f>
        <v>3823.9500000000003</v>
      </c>
      <c r="D27" s="47">
        <f t="shared" si="2"/>
        <v>5298.58</v>
      </c>
      <c r="E27" s="47">
        <f t="shared" si="2"/>
        <v>7029.380000000001</v>
      </c>
      <c r="F27" s="47">
        <f t="shared" si="2"/>
        <v>8054.97</v>
      </c>
      <c r="G27" s="48">
        <f t="shared" si="2"/>
        <v>9371.86</v>
      </c>
      <c r="H27" s="46">
        <f t="shared" si="2"/>
        <v>10867.363728492133</v>
      </c>
      <c r="I27" s="47">
        <f t="shared" si="2"/>
        <v>11165.627989675346</v>
      </c>
      <c r="J27" s="47">
        <f t="shared" si="2"/>
        <v>12021.445830446559</v>
      </c>
      <c r="K27" s="47">
        <f t="shared" si="2"/>
        <v>13799.420093636447</v>
      </c>
      <c r="L27" s="48">
        <f t="shared" si="2"/>
        <v>15738.764726512394</v>
      </c>
      <c r="M27" s="44"/>
      <c r="N27" s="20"/>
      <c r="O27" s="20"/>
      <c r="P27" s="20"/>
      <c r="Q27" s="20"/>
      <c r="R27" s="20"/>
      <c r="S27" s="20"/>
      <c r="T27" s="43"/>
      <c r="U27" s="43"/>
      <c r="V27" s="43"/>
      <c r="W27" s="43"/>
      <c r="X27" s="43"/>
      <c r="Y27" s="43"/>
      <c r="Z27" s="43"/>
    </row>
    <row r="28" spans="1:26" ht="14.25" customHeight="1" x14ac:dyDescent="0.3">
      <c r="A28" s="20"/>
      <c r="B28" s="55"/>
      <c r="C28" s="56"/>
      <c r="D28" s="20"/>
      <c r="E28" s="20"/>
      <c r="F28" s="20"/>
      <c r="G28" s="57"/>
      <c r="H28" s="56"/>
      <c r="I28" s="20"/>
      <c r="J28" s="20"/>
      <c r="K28" s="20"/>
      <c r="L28" s="57"/>
      <c r="M28" s="20"/>
      <c r="N28" s="20"/>
      <c r="O28" s="20"/>
      <c r="P28" s="20"/>
      <c r="Q28" s="20"/>
      <c r="R28" s="20"/>
      <c r="S28" s="20"/>
      <c r="T28" s="20"/>
      <c r="U28" s="20"/>
      <c r="V28" s="20"/>
      <c r="W28" s="20"/>
      <c r="X28" s="20"/>
      <c r="Y28" s="20"/>
      <c r="Z28" s="20"/>
    </row>
    <row r="29" spans="1:26" ht="14.25" customHeight="1" x14ac:dyDescent="0.3">
      <c r="A29" s="44"/>
      <c r="B29" s="45" t="s">
        <v>123</v>
      </c>
      <c r="C29" s="46">
        <f t="shared" ref="C29:L29" si="3">C9-C27</f>
        <v>223.86999999999944</v>
      </c>
      <c r="D29" s="47">
        <f t="shared" si="3"/>
        <v>434.70000000000073</v>
      </c>
      <c r="E29" s="47">
        <f t="shared" si="3"/>
        <v>797.79999999999927</v>
      </c>
      <c r="F29" s="47">
        <f t="shared" si="3"/>
        <v>1411.6099999999997</v>
      </c>
      <c r="G29" s="48">
        <f t="shared" si="3"/>
        <v>2060.0200000000004</v>
      </c>
      <c r="H29" s="46">
        <f t="shared" si="3"/>
        <v>1817.3299012961488</v>
      </c>
      <c r="I29" s="47">
        <f t="shared" si="3"/>
        <v>2442.4462819666678</v>
      </c>
      <c r="J29" s="47">
        <f t="shared" si="3"/>
        <v>2729.2047938968135</v>
      </c>
      <c r="K29" s="47">
        <f t="shared" si="3"/>
        <v>2892.1519159503259</v>
      </c>
      <c r="L29" s="48">
        <f t="shared" si="3"/>
        <v>3448.9911349506019</v>
      </c>
      <c r="M29" s="44"/>
      <c r="N29" s="20"/>
      <c r="O29" s="20"/>
      <c r="P29" s="20"/>
      <c r="Q29" s="20"/>
      <c r="R29" s="20"/>
      <c r="S29" s="20"/>
      <c r="T29" s="20"/>
      <c r="U29" s="20"/>
      <c r="V29" s="20"/>
      <c r="W29" s="20"/>
      <c r="X29" s="20"/>
      <c r="Y29" s="20"/>
      <c r="Z29" s="20"/>
    </row>
    <row r="30" spans="1:26" ht="14.25" customHeight="1" x14ac:dyDescent="0.3">
      <c r="A30" s="44"/>
      <c r="B30" s="45"/>
      <c r="C30" s="61"/>
      <c r="D30" s="62"/>
      <c r="E30" s="62"/>
      <c r="F30" s="62"/>
      <c r="G30" s="63"/>
      <c r="H30" s="61"/>
      <c r="I30" s="62"/>
      <c r="J30" s="62"/>
      <c r="K30" s="62"/>
      <c r="L30" s="63"/>
      <c r="M30" s="44"/>
      <c r="N30" s="20"/>
      <c r="O30" s="20"/>
      <c r="P30" s="20"/>
      <c r="Q30" s="20"/>
      <c r="R30" s="20"/>
      <c r="S30" s="20"/>
      <c r="T30" s="20"/>
      <c r="U30" s="20"/>
      <c r="V30" s="20"/>
      <c r="W30" s="20"/>
      <c r="X30" s="20"/>
      <c r="Y30" s="20"/>
      <c r="Z30" s="20"/>
    </row>
    <row r="31" spans="1:26" ht="14.25" customHeight="1" x14ac:dyDescent="0.3">
      <c r="A31" s="64"/>
      <c r="B31" s="65" t="s">
        <v>124</v>
      </c>
      <c r="C31" s="66"/>
      <c r="D31" s="34">
        <v>63.19</v>
      </c>
      <c r="E31" s="34">
        <v>56.97</v>
      </c>
      <c r="F31" s="34">
        <v>63.82</v>
      </c>
      <c r="G31" s="35">
        <v>84.28</v>
      </c>
      <c r="H31" s="36">
        <f>'FORECAST SCHEDULES'!I38</f>
        <v>72.633677305651588</v>
      </c>
      <c r="I31" s="37">
        <f>'FORECAST SCHEDULES'!J38</f>
        <v>76.923083473807395</v>
      </c>
      <c r="J31" s="37">
        <f>'FORECAST SCHEDULES'!K38</f>
        <v>81.50870351301225</v>
      </c>
      <c r="K31" s="37">
        <f>'FORECAST SCHEDULES'!L38</f>
        <v>79.913578082807305</v>
      </c>
      <c r="L31" s="38">
        <f>'FORECAST SCHEDULES'!M38</f>
        <v>81.678966501575914</v>
      </c>
      <c r="M31" s="64"/>
      <c r="N31" s="20"/>
      <c r="O31" s="20"/>
      <c r="P31" s="20"/>
      <c r="Q31" s="20"/>
      <c r="R31" s="20"/>
      <c r="S31" s="20"/>
      <c r="T31" s="20"/>
      <c r="U31" s="20"/>
      <c r="V31" s="20"/>
      <c r="W31" s="20"/>
      <c r="X31" s="20"/>
      <c r="Y31" s="20"/>
      <c r="Z31" s="20"/>
    </row>
    <row r="32" spans="1:26" ht="14.25" customHeight="1" x14ac:dyDescent="0.3">
      <c r="A32" s="64"/>
      <c r="B32" s="32" t="s">
        <v>125</v>
      </c>
      <c r="C32" s="66"/>
      <c r="D32" s="34">
        <v>5.5</v>
      </c>
      <c r="E32" s="34">
        <v>14.21</v>
      </c>
      <c r="F32" s="34">
        <v>13.94</v>
      </c>
      <c r="G32" s="35">
        <v>23.97</v>
      </c>
      <c r="H32" s="36">
        <f>-'FORECAST SCHEDULES'!I55</f>
        <v>22.59</v>
      </c>
      <c r="I32" s="37">
        <f>-'FORECAST SCHEDULES'!J55</f>
        <v>22.59</v>
      </c>
      <c r="J32" s="37">
        <f>-'FORECAST SCHEDULES'!K55</f>
        <v>22.59</v>
      </c>
      <c r="K32" s="37">
        <f>-'FORECAST SCHEDULES'!L55</f>
        <v>22.59</v>
      </c>
      <c r="L32" s="38">
        <f>-'FORECAST SCHEDULES'!M55</f>
        <v>22.59</v>
      </c>
      <c r="M32" s="64"/>
      <c r="N32" s="20"/>
      <c r="O32" s="20"/>
      <c r="P32" s="20"/>
      <c r="Q32" s="20"/>
      <c r="R32" s="20"/>
      <c r="S32" s="20"/>
      <c r="T32" s="20"/>
      <c r="U32" s="20"/>
      <c r="V32" s="20"/>
      <c r="W32" s="20"/>
      <c r="X32" s="20"/>
      <c r="Y32" s="20"/>
      <c r="Z32" s="20"/>
    </row>
    <row r="33" spans="1:26" ht="14.25" customHeight="1" x14ac:dyDescent="0.3">
      <c r="A33" s="64"/>
      <c r="B33" s="32" t="s">
        <v>126</v>
      </c>
      <c r="C33" s="66"/>
      <c r="D33" s="34">
        <v>5.82</v>
      </c>
      <c r="E33" s="34">
        <v>4.4000000000000004</v>
      </c>
      <c r="F33" s="34">
        <v>5.37</v>
      </c>
      <c r="G33" s="35">
        <v>6.94</v>
      </c>
      <c r="H33" s="36">
        <f>'ASSUMPTIONS AND REASONING'!J29</f>
        <v>5.57</v>
      </c>
      <c r="I33" s="37">
        <f>'ASSUMPTIONS AND REASONING'!K29</f>
        <v>5.9600000000000009</v>
      </c>
      <c r="J33" s="37">
        <f>'ASSUMPTIONS AND REASONING'!L29</f>
        <v>6.1566666666666672</v>
      </c>
      <c r="K33" s="37">
        <f>'ASSUMPTIONS AND REASONING'!M29</f>
        <v>5.8955555555555561</v>
      </c>
      <c r="L33" s="38">
        <f>'ASSUMPTIONS AND REASONING'!N29</f>
        <v>6.004074074074075</v>
      </c>
      <c r="M33" s="64"/>
      <c r="N33" s="20"/>
      <c r="O33" s="20"/>
      <c r="P33" s="20"/>
      <c r="Q33" s="20"/>
      <c r="R33" s="20"/>
      <c r="S33" s="20"/>
      <c r="T33" s="20"/>
      <c r="U33" s="20"/>
      <c r="V33" s="20"/>
      <c r="W33" s="20"/>
      <c r="X33" s="20"/>
      <c r="Y33" s="20"/>
      <c r="Z33" s="20"/>
    </row>
    <row r="34" spans="1:26" ht="14.25" customHeight="1" x14ac:dyDescent="0.3">
      <c r="A34" s="43"/>
      <c r="B34" s="45" t="s">
        <v>127</v>
      </c>
      <c r="C34" s="61">
        <v>59.65</v>
      </c>
      <c r="D34" s="47">
        <f t="shared" ref="D34:L34" si="4">SUM(D31:D33)</f>
        <v>74.509999999999991</v>
      </c>
      <c r="E34" s="47">
        <f t="shared" si="4"/>
        <v>75.580000000000013</v>
      </c>
      <c r="F34" s="47">
        <f t="shared" si="4"/>
        <v>83.13000000000001</v>
      </c>
      <c r="G34" s="48">
        <f t="shared" si="4"/>
        <v>115.19</v>
      </c>
      <c r="H34" s="46">
        <f t="shared" si="4"/>
        <v>100.79367730565158</v>
      </c>
      <c r="I34" s="47">
        <f t="shared" si="4"/>
        <v>105.47308347380741</v>
      </c>
      <c r="J34" s="47">
        <f t="shared" si="4"/>
        <v>110.25537017967892</v>
      </c>
      <c r="K34" s="47">
        <f t="shared" si="4"/>
        <v>108.39913363836287</v>
      </c>
      <c r="L34" s="48">
        <f t="shared" si="4"/>
        <v>110.27304057564999</v>
      </c>
      <c r="M34" s="43"/>
      <c r="N34" s="43"/>
      <c r="O34" s="43"/>
      <c r="P34" s="43"/>
      <c r="Q34" s="43"/>
      <c r="R34" s="43"/>
      <c r="S34" s="43"/>
      <c r="T34" s="43"/>
      <c r="U34" s="43"/>
      <c r="V34" s="43"/>
      <c r="W34" s="43"/>
      <c r="X34" s="43"/>
      <c r="Y34" s="43"/>
      <c r="Z34" s="43"/>
    </row>
    <row r="35" spans="1:26" ht="14.25" customHeight="1" x14ac:dyDescent="0.3">
      <c r="A35" s="43"/>
      <c r="B35" s="45"/>
      <c r="C35" s="61"/>
      <c r="D35" s="62"/>
      <c r="E35" s="62"/>
      <c r="F35" s="62"/>
      <c r="G35" s="63"/>
      <c r="H35" s="67"/>
      <c r="I35" s="43"/>
      <c r="J35" s="43"/>
      <c r="K35" s="43"/>
      <c r="L35" s="68"/>
      <c r="M35" s="43"/>
      <c r="N35" s="43"/>
      <c r="O35" s="43"/>
      <c r="P35" s="43"/>
      <c r="Q35" s="43"/>
      <c r="R35" s="43"/>
      <c r="S35" s="43"/>
      <c r="T35" s="43"/>
      <c r="U35" s="43"/>
      <c r="V35" s="43"/>
      <c r="W35" s="43"/>
      <c r="X35" s="43"/>
      <c r="Y35" s="43"/>
      <c r="Z35" s="43"/>
    </row>
    <row r="36" spans="1:26" ht="14.25" customHeight="1" x14ac:dyDescent="0.3">
      <c r="A36" s="44"/>
      <c r="B36" s="45" t="s">
        <v>128</v>
      </c>
      <c r="C36" s="46">
        <f t="shared" ref="C36:L36" si="5">C29-C34</f>
        <v>164.21999999999943</v>
      </c>
      <c r="D36" s="47">
        <f t="shared" si="5"/>
        <v>360.19000000000074</v>
      </c>
      <c r="E36" s="47">
        <f t="shared" si="5"/>
        <v>722.21999999999923</v>
      </c>
      <c r="F36" s="47">
        <f t="shared" si="5"/>
        <v>1328.4799999999996</v>
      </c>
      <c r="G36" s="48">
        <f t="shared" si="5"/>
        <v>1944.8300000000004</v>
      </c>
      <c r="H36" s="46">
        <f t="shared" si="5"/>
        <v>1716.5362239904973</v>
      </c>
      <c r="I36" s="47">
        <f t="shared" si="5"/>
        <v>2336.9731984928603</v>
      </c>
      <c r="J36" s="47">
        <f t="shared" si="5"/>
        <v>2618.9494237171348</v>
      </c>
      <c r="K36" s="47">
        <f t="shared" si="5"/>
        <v>2783.7527823119631</v>
      </c>
      <c r="L36" s="48">
        <f t="shared" si="5"/>
        <v>3338.7180943749518</v>
      </c>
      <c r="M36" s="44"/>
      <c r="N36" s="20"/>
      <c r="O36" s="20"/>
      <c r="P36" s="20"/>
      <c r="Q36" s="20"/>
      <c r="R36" s="20"/>
      <c r="S36" s="20"/>
      <c r="T36" s="20"/>
      <c r="U36" s="20"/>
      <c r="V36" s="20"/>
      <c r="W36" s="20"/>
      <c r="X36" s="20"/>
      <c r="Y36" s="20"/>
      <c r="Z36" s="20"/>
    </row>
    <row r="37" spans="1:26" ht="14.25" customHeight="1" x14ac:dyDescent="0.3">
      <c r="A37" s="20"/>
      <c r="B37" s="55"/>
      <c r="C37" s="56"/>
      <c r="D37" s="20"/>
      <c r="E37" s="20"/>
      <c r="F37" s="20"/>
      <c r="G37" s="57"/>
      <c r="H37" s="56"/>
      <c r="I37" s="20"/>
      <c r="J37" s="20"/>
      <c r="K37" s="20"/>
      <c r="L37" s="57"/>
      <c r="M37" s="20"/>
      <c r="N37" s="20"/>
      <c r="O37" s="20"/>
      <c r="P37" s="20"/>
      <c r="Q37" s="20"/>
      <c r="R37" s="20"/>
      <c r="S37" s="20"/>
      <c r="T37" s="43"/>
      <c r="U37" s="43"/>
      <c r="V37" s="43"/>
      <c r="W37" s="43"/>
      <c r="X37" s="43"/>
      <c r="Y37" s="43"/>
      <c r="Z37" s="43"/>
    </row>
    <row r="38" spans="1:26" ht="14.25" customHeight="1" x14ac:dyDescent="0.3">
      <c r="A38" s="20"/>
      <c r="B38" s="65" t="s">
        <v>129</v>
      </c>
      <c r="C38" s="39">
        <v>4.55</v>
      </c>
      <c r="D38" s="40">
        <v>3.1</v>
      </c>
      <c r="E38" s="40">
        <v>1.55</v>
      </c>
      <c r="F38" s="40">
        <v>0.75</v>
      </c>
      <c r="G38" s="41">
        <v>7.0000000000000007E-2</v>
      </c>
      <c r="H38" s="39">
        <f>'FORECAST SCHEDULES'!I44</f>
        <v>1</v>
      </c>
      <c r="I38" s="40">
        <f>'FORECAST SCHEDULES'!J44</f>
        <v>1</v>
      </c>
      <c r="J38" s="40">
        <f>'FORECAST SCHEDULES'!K44</f>
        <v>1</v>
      </c>
      <c r="K38" s="40">
        <f>'FORECAST SCHEDULES'!L44</f>
        <v>1</v>
      </c>
      <c r="L38" s="41">
        <f>'FORECAST SCHEDULES'!M44</f>
        <v>1</v>
      </c>
      <c r="M38" s="20"/>
      <c r="N38" s="20"/>
      <c r="O38" s="20"/>
      <c r="P38" s="20"/>
      <c r="Q38" s="20"/>
      <c r="R38" s="20"/>
      <c r="S38" s="20"/>
      <c r="T38" s="43"/>
      <c r="U38" s="43"/>
      <c r="V38" s="43"/>
      <c r="W38" s="43"/>
      <c r="X38" s="43"/>
      <c r="Y38" s="43"/>
      <c r="Z38" s="43"/>
    </row>
    <row r="39" spans="1:26" ht="14.25" customHeight="1" x14ac:dyDescent="0.3">
      <c r="A39" s="20"/>
      <c r="B39" s="65" t="s">
        <v>130</v>
      </c>
      <c r="C39" s="39">
        <v>3.71</v>
      </c>
      <c r="D39" s="40">
        <v>3.98</v>
      </c>
      <c r="E39" s="40">
        <v>4.74</v>
      </c>
      <c r="F39" s="40">
        <v>4.33</v>
      </c>
      <c r="G39" s="41">
        <v>4.2699999999999996</v>
      </c>
      <c r="H39" s="39">
        <f>'FORECAST SCHEDULES'!I237</f>
        <v>4.4597136529241981</v>
      </c>
      <c r="I39" s="40">
        <f>'FORECAST SCHEDULES'!J237</f>
        <v>4.3531490062628331</v>
      </c>
      <c r="J39" s="40">
        <f>'FORECAST SCHEDULES'!K237</f>
        <v>4.3608543030329709</v>
      </c>
      <c r="K39" s="40">
        <f>'FORECAST SCHEDULES'!L237</f>
        <v>4.3912087233004762</v>
      </c>
      <c r="L39" s="41">
        <f>'FORECAST SCHEDULES'!M237</f>
        <v>4.3684010570258796</v>
      </c>
      <c r="M39" s="20"/>
      <c r="N39" s="20"/>
      <c r="O39" s="20"/>
      <c r="P39" s="20"/>
      <c r="Q39" s="20"/>
      <c r="R39" s="20"/>
      <c r="S39" s="20"/>
      <c r="T39" s="43"/>
      <c r="U39" s="43"/>
      <c r="V39" s="43"/>
      <c r="W39" s="43"/>
      <c r="X39" s="43"/>
      <c r="Y39" s="43"/>
      <c r="Z39" s="43"/>
    </row>
    <row r="40" spans="1:26" ht="14.25" customHeight="1" x14ac:dyDescent="0.3">
      <c r="A40" s="20"/>
      <c r="B40" s="65" t="s">
        <v>131</v>
      </c>
      <c r="C40" s="39">
        <v>0.1</v>
      </c>
      <c r="D40" s="40">
        <v>0.08</v>
      </c>
      <c r="E40" s="40">
        <v>0.06</v>
      </c>
      <c r="F40" s="40">
        <v>0.04</v>
      </c>
      <c r="G40" s="41">
        <v>0.06</v>
      </c>
      <c r="H40" s="39">
        <f>'FORECAST SCHEDULES'!I244</f>
        <v>5.2642233690337291E-2</v>
      </c>
      <c r="I40" s="40">
        <f>'FORECAST SCHEDULES'!J244</f>
        <v>5.103731377256053E-2</v>
      </c>
      <c r="J40" s="40">
        <f>'FORECAST SCHEDULES'!K244</f>
        <v>5.4584366687424613E-2</v>
      </c>
      <c r="K40" s="40">
        <f>'FORECAST SCHEDULES'!L244</f>
        <v>5.2760253247699847E-2</v>
      </c>
      <c r="L40" s="41">
        <f>'FORECAST SCHEDULES'!M244</f>
        <v>5.2799492616219676E-2</v>
      </c>
      <c r="M40" s="20"/>
      <c r="N40" s="20"/>
      <c r="O40" s="20"/>
      <c r="P40" s="20"/>
      <c r="Q40" s="20"/>
      <c r="R40" s="20"/>
      <c r="S40" s="20"/>
      <c r="T40" s="43"/>
      <c r="U40" s="43"/>
      <c r="V40" s="43"/>
      <c r="W40" s="43"/>
      <c r="X40" s="43"/>
      <c r="Y40" s="43"/>
      <c r="Z40" s="43"/>
    </row>
    <row r="41" spans="1:26" ht="14.25" customHeight="1" x14ac:dyDescent="0.3">
      <c r="A41" s="20"/>
      <c r="B41" s="65" t="s">
        <v>132</v>
      </c>
      <c r="C41" s="39">
        <v>0</v>
      </c>
      <c r="D41" s="40">
        <v>0</v>
      </c>
      <c r="E41" s="40">
        <v>0.02</v>
      </c>
      <c r="F41" s="40">
        <v>0</v>
      </c>
      <c r="G41" s="41">
        <v>0</v>
      </c>
      <c r="H41" s="39">
        <v>0</v>
      </c>
      <c r="I41" s="40">
        <v>0</v>
      </c>
      <c r="J41" s="40">
        <v>0</v>
      </c>
      <c r="K41" s="40">
        <v>0</v>
      </c>
      <c r="L41" s="41">
        <v>0</v>
      </c>
      <c r="M41" s="20"/>
      <c r="N41" s="20"/>
      <c r="O41" s="20"/>
      <c r="P41" s="20"/>
      <c r="Q41" s="20"/>
      <c r="R41" s="20"/>
      <c r="S41" s="20"/>
      <c r="T41" s="43"/>
      <c r="U41" s="43"/>
      <c r="V41" s="43"/>
      <c r="W41" s="43"/>
      <c r="X41" s="43"/>
      <c r="Y41" s="43"/>
      <c r="Z41" s="43"/>
    </row>
    <row r="42" spans="1:26" ht="14.25" customHeight="1" x14ac:dyDescent="0.3">
      <c r="A42" s="43"/>
      <c r="B42" s="45" t="s">
        <v>133</v>
      </c>
      <c r="C42" s="46">
        <f t="shared" ref="C42:L42" si="6">-SUM(C38:C41)</f>
        <v>-8.36</v>
      </c>
      <c r="D42" s="47">
        <f t="shared" si="6"/>
        <v>-7.16</v>
      </c>
      <c r="E42" s="47">
        <f t="shared" si="6"/>
        <v>-6.3699999999999992</v>
      </c>
      <c r="F42" s="47">
        <f t="shared" si="6"/>
        <v>-5.12</v>
      </c>
      <c r="G42" s="48">
        <f t="shared" si="6"/>
        <v>-4.3999999999999995</v>
      </c>
      <c r="H42" s="46">
        <f t="shared" si="6"/>
        <v>-5.512355886614535</v>
      </c>
      <c r="I42" s="47">
        <f t="shared" si="6"/>
        <v>-5.4041863200353939</v>
      </c>
      <c r="J42" s="47">
        <f t="shared" si="6"/>
        <v>-5.4154386697203956</v>
      </c>
      <c r="K42" s="47">
        <f t="shared" si="6"/>
        <v>-5.4439689765481765</v>
      </c>
      <c r="L42" s="48">
        <f t="shared" si="6"/>
        <v>-5.4212005496420996</v>
      </c>
      <c r="M42" s="43"/>
      <c r="N42" s="43"/>
      <c r="O42" s="43"/>
      <c r="P42" s="43"/>
      <c r="Q42" s="43"/>
      <c r="R42" s="43"/>
      <c r="S42" s="43"/>
      <c r="T42" s="43"/>
      <c r="U42" s="43"/>
      <c r="V42" s="43"/>
      <c r="W42" s="43"/>
      <c r="X42" s="43"/>
      <c r="Y42" s="43"/>
      <c r="Z42" s="43"/>
    </row>
    <row r="43" spans="1:26" ht="14.25" customHeight="1" x14ac:dyDescent="0.3">
      <c r="A43" s="43"/>
      <c r="B43" s="45"/>
      <c r="C43" s="61"/>
      <c r="D43" s="62"/>
      <c r="E43" s="62"/>
      <c r="F43" s="62"/>
      <c r="G43" s="63"/>
      <c r="H43" s="61"/>
      <c r="I43" s="62"/>
      <c r="J43" s="62"/>
      <c r="K43" s="62"/>
      <c r="L43" s="63"/>
      <c r="M43" s="43"/>
      <c r="N43" s="43"/>
      <c r="O43" s="43"/>
      <c r="P43" s="43"/>
      <c r="Q43" s="43"/>
      <c r="R43" s="43"/>
      <c r="S43" s="43"/>
      <c r="T43" s="43"/>
      <c r="U43" s="43"/>
      <c r="V43" s="43"/>
      <c r="W43" s="43"/>
      <c r="X43" s="43"/>
      <c r="Y43" s="43"/>
      <c r="Z43" s="43"/>
    </row>
    <row r="44" spans="1:26" ht="14.25" customHeight="1" x14ac:dyDescent="0.3">
      <c r="A44" s="20"/>
      <c r="B44" s="32" t="s">
        <v>134</v>
      </c>
      <c r="C44" s="33">
        <v>368.24</v>
      </c>
      <c r="D44" s="34">
        <v>347.48</v>
      </c>
      <c r="E44" s="34">
        <v>601.77</v>
      </c>
      <c r="F44" s="34">
        <v>994.41</v>
      </c>
      <c r="G44" s="35">
        <v>1005.84</v>
      </c>
      <c r="H44" s="39">
        <f>'FORECAST SCHEDULES'!I225</f>
        <v>794.5704316727855</v>
      </c>
      <c r="I44" s="40">
        <f>'FORECAST SCHEDULES'!J225</f>
        <v>758.5123387410631</v>
      </c>
      <c r="J44" s="40">
        <f>'FORECAST SCHEDULES'!K225</f>
        <v>1460.3229008294786</v>
      </c>
      <c r="K44" s="40">
        <f>'FORECAST SCHEDULES'!L225</f>
        <v>2248.1381668925778</v>
      </c>
      <c r="L44" s="41">
        <f>'FORECAST SCHEDULES'!M225</f>
        <v>2895.4462430337699</v>
      </c>
      <c r="M44" s="20"/>
      <c r="N44" s="20"/>
      <c r="O44" s="20"/>
      <c r="P44" s="20"/>
      <c r="Q44" s="20"/>
      <c r="R44" s="20"/>
      <c r="S44" s="20"/>
      <c r="T44" s="20"/>
      <c r="U44" s="20"/>
      <c r="V44" s="20"/>
      <c r="W44" s="20"/>
      <c r="X44" s="20"/>
      <c r="Y44" s="20"/>
      <c r="Z44" s="20"/>
    </row>
    <row r="45" spans="1:26" ht="14.25" customHeight="1" x14ac:dyDescent="0.3">
      <c r="A45" s="20"/>
      <c r="B45" s="32" t="s">
        <v>135</v>
      </c>
      <c r="C45" s="33">
        <v>26.1</v>
      </c>
      <c r="D45" s="34">
        <v>23.36</v>
      </c>
      <c r="E45" s="34">
        <v>26.65</v>
      </c>
      <c r="F45" s="34">
        <v>36.549999999999997</v>
      </c>
      <c r="G45" s="35">
        <v>47.54</v>
      </c>
      <c r="H45" s="39">
        <f>'FORECAST SCHEDULES'!I147</f>
        <v>50</v>
      </c>
      <c r="I45" s="40">
        <f>'FORECAST SCHEDULES'!J147</f>
        <v>50</v>
      </c>
      <c r="J45" s="40">
        <f>'FORECAST SCHEDULES'!K147</f>
        <v>50</v>
      </c>
      <c r="K45" s="40">
        <f>'FORECAST SCHEDULES'!L147</f>
        <v>50</v>
      </c>
      <c r="L45" s="41">
        <f>'FORECAST SCHEDULES'!M147</f>
        <v>50</v>
      </c>
      <c r="M45" s="20"/>
      <c r="N45" s="20"/>
      <c r="O45" s="20"/>
      <c r="P45" s="20"/>
      <c r="Q45" s="20"/>
      <c r="R45" s="20"/>
      <c r="S45" s="20"/>
      <c r="T45" s="20"/>
      <c r="U45" s="20"/>
      <c r="V45" s="20"/>
      <c r="W45" s="20"/>
      <c r="X45" s="20"/>
      <c r="Y45" s="20"/>
      <c r="Z45" s="20"/>
    </row>
    <row r="46" spans="1:26" ht="14.25" customHeight="1" x14ac:dyDescent="0.3">
      <c r="A46" s="20"/>
      <c r="B46" s="32" t="s">
        <v>136</v>
      </c>
      <c r="C46" s="33">
        <v>0.01</v>
      </c>
      <c r="D46" s="34">
        <v>0</v>
      </c>
      <c r="E46" s="34">
        <v>0.21</v>
      </c>
      <c r="F46" s="34">
        <v>0</v>
      </c>
      <c r="G46" s="35">
        <v>0</v>
      </c>
      <c r="H46" s="39">
        <f>'ASSUMPTIONS AND REASONING'!J24</f>
        <v>0</v>
      </c>
      <c r="I46" s="40">
        <f>'ASSUMPTIONS AND REASONING'!K24</f>
        <v>0</v>
      </c>
      <c r="J46" s="40">
        <f>'ASSUMPTIONS AND REASONING'!L24</f>
        <v>0</v>
      </c>
      <c r="K46" s="40">
        <f>'ASSUMPTIONS AND REASONING'!M24</f>
        <v>0</v>
      </c>
      <c r="L46" s="41">
        <f>'ASSUMPTIONS AND REASONING'!N24</f>
        <v>0</v>
      </c>
      <c r="M46" s="20"/>
      <c r="N46" s="20"/>
      <c r="O46" s="20"/>
      <c r="P46" s="20"/>
      <c r="Q46" s="20"/>
      <c r="R46" s="20"/>
      <c r="S46" s="20"/>
      <c r="T46" s="20"/>
      <c r="U46" s="20"/>
      <c r="V46" s="20"/>
      <c r="W46" s="20"/>
      <c r="X46" s="20"/>
      <c r="Y46" s="20"/>
      <c r="Z46" s="20"/>
    </row>
    <row r="47" spans="1:26" ht="14.25" customHeight="1" x14ac:dyDescent="0.3">
      <c r="A47" s="20"/>
      <c r="B47" s="32" t="s">
        <v>137</v>
      </c>
      <c r="C47" s="33">
        <v>205.81</v>
      </c>
      <c r="D47" s="34">
        <v>61.78</v>
      </c>
      <c r="E47" s="34">
        <v>83.95</v>
      </c>
      <c r="F47" s="34">
        <v>105.58</v>
      </c>
      <c r="G47" s="35">
        <v>114.6</v>
      </c>
      <c r="H47" s="39">
        <f>H9*'ASSUMPTIONS AND REASONING'!J25</f>
        <v>134.89310529018692</v>
      </c>
      <c r="I47" s="40">
        <f>I9*'ASSUMPTIONS AND REASONING'!K25</f>
        <v>144.2992847331202</v>
      </c>
      <c r="J47" s="40">
        <f>J9*'ASSUMPTIONS AND REASONING'!L25</f>
        <v>153.71586633884786</v>
      </c>
      <c r="K47" s="40">
        <f>K9*'ASSUMPTIONS AND REASONING'!M25</f>
        <v>176.14739520963354</v>
      </c>
      <c r="L47" s="41">
        <f>L9*'ASSUMPTIONS AND REASONING'!N25</f>
        <v>201.97015851588193</v>
      </c>
      <c r="M47" s="20"/>
      <c r="N47" s="20"/>
      <c r="O47" s="20"/>
      <c r="P47" s="20"/>
      <c r="Q47" s="20"/>
      <c r="R47" s="20"/>
      <c r="S47" s="20"/>
      <c r="T47" s="42"/>
      <c r="U47" s="42"/>
      <c r="V47" s="42"/>
      <c r="W47" s="42"/>
      <c r="X47" s="42"/>
      <c r="Y47" s="42"/>
      <c r="Z47" s="42"/>
    </row>
    <row r="48" spans="1:26" ht="14.25" customHeight="1" x14ac:dyDescent="0.3">
      <c r="A48" s="44"/>
      <c r="B48" s="45" t="s">
        <v>138</v>
      </c>
      <c r="C48" s="46">
        <f t="shared" ref="C48:L48" si="7">C36+SUM(C44:C47)+C42</f>
        <v>756.01999999999953</v>
      </c>
      <c r="D48" s="47">
        <f t="shared" si="7"/>
        <v>785.65000000000077</v>
      </c>
      <c r="E48" s="47">
        <f t="shared" si="7"/>
        <v>1428.4299999999994</v>
      </c>
      <c r="F48" s="47">
        <f t="shared" si="7"/>
        <v>2459.8999999999996</v>
      </c>
      <c r="G48" s="48">
        <f t="shared" si="7"/>
        <v>3108.4100000000003</v>
      </c>
      <c r="H48" s="46">
        <f t="shared" si="7"/>
        <v>2690.4874050668554</v>
      </c>
      <c r="I48" s="47">
        <f t="shared" si="7"/>
        <v>3284.3806356470081</v>
      </c>
      <c r="J48" s="47">
        <f t="shared" si="7"/>
        <v>4277.5727522157413</v>
      </c>
      <c r="K48" s="47">
        <f t="shared" si="7"/>
        <v>5252.5943754376258</v>
      </c>
      <c r="L48" s="48">
        <f t="shared" si="7"/>
        <v>6480.7132953749615</v>
      </c>
      <c r="M48" s="44"/>
      <c r="N48" s="20"/>
      <c r="O48" s="20"/>
      <c r="P48" s="20"/>
      <c r="Q48" s="20"/>
      <c r="R48" s="20"/>
      <c r="S48" s="20"/>
      <c r="T48" s="42"/>
      <c r="U48" s="42"/>
      <c r="V48" s="42"/>
      <c r="W48" s="42"/>
      <c r="X48" s="42"/>
      <c r="Y48" s="42"/>
      <c r="Z48" s="42"/>
    </row>
    <row r="49" spans="1:26" ht="11.25" customHeight="1" x14ac:dyDescent="0.3">
      <c r="A49" s="20"/>
      <c r="B49" s="55"/>
      <c r="C49" s="56"/>
      <c r="D49" s="20"/>
      <c r="E49" s="20"/>
      <c r="F49" s="20"/>
      <c r="G49" s="57"/>
      <c r="H49" s="56"/>
      <c r="I49" s="20"/>
      <c r="J49" s="20"/>
      <c r="K49" s="20"/>
      <c r="L49" s="57"/>
      <c r="M49" s="20"/>
      <c r="N49" s="20"/>
      <c r="O49" s="20"/>
      <c r="P49" s="20"/>
      <c r="Q49" s="20"/>
      <c r="R49" s="20"/>
      <c r="S49" s="20"/>
      <c r="T49" s="20"/>
      <c r="U49" s="20"/>
      <c r="V49" s="20"/>
      <c r="W49" s="20"/>
      <c r="X49" s="20"/>
      <c r="Y49" s="20"/>
      <c r="Z49" s="20"/>
    </row>
    <row r="50" spans="1:26" ht="14.25" customHeight="1" x14ac:dyDescent="0.3">
      <c r="A50" s="20"/>
      <c r="B50" s="32" t="s">
        <v>139</v>
      </c>
      <c r="C50" s="33">
        <v>0.04</v>
      </c>
      <c r="D50" s="34">
        <v>1.01</v>
      </c>
      <c r="E50" s="34">
        <v>0.9</v>
      </c>
      <c r="F50" s="34">
        <v>1.48</v>
      </c>
      <c r="G50" s="35">
        <v>0.79</v>
      </c>
      <c r="H50" s="39">
        <f>'ASSUMPTIONS AND REASONING'!J26</f>
        <v>0</v>
      </c>
      <c r="I50" s="40">
        <f>'ASSUMPTIONS AND REASONING'!K26</f>
        <v>0</v>
      </c>
      <c r="J50" s="40">
        <f>'ASSUMPTIONS AND REASONING'!L26</f>
        <v>0</v>
      </c>
      <c r="K50" s="40">
        <f>'ASSUMPTIONS AND REASONING'!M26</f>
        <v>0</v>
      </c>
      <c r="L50" s="41">
        <f>'ASSUMPTIONS AND REASONING'!N26</f>
        <v>0</v>
      </c>
      <c r="M50" s="20"/>
      <c r="N50" s="20"/>
      <c r="O50" s="20"/>
      <c r="P50" s="20"/>
      <c r="Q50" s="20"/>
      <c r="R50" s="20"/>
      <c r="S50" s="20"/>
      <c r="T50" s="20"/>
      <c r="U50" s="20"/>
      <c r="V50" s="20"/>
      <c r="W50" s="20"/>
      <c r="X50" s="20"/>
      <c r="Y50" s="20"/>
      <c r="Z50" s="20"/>
    </row>
    <row r="51" spans="1:26" ht="14.25" customHeight="1" x14ac:dyDescent="0.3">
      <c r="A51" s="20"/>
      <c r="B51" s="32" t="s">
        <v>140</v>
      </c>
      <c r="C51" s="33">
        <v>0</v>
      </c>
      <c r="D51" s="34">
        <v>0</v>
      </c>
      <c r="E51" s="34">
        <v>0</v>
      </c>
      <c r="F51" s="34">
        <v>0</v>
      </c>
      <c r="G51" s="35">
        <v>0</v>
      </c>
      <c r="H51" s="39">
        <f>'ASSUMPTIONS AND REASONING'!J27</f>
        <v>0</v>
      </c>
      <c r="I51" s="40">
        <f>'ASSUMPTIONS AND REASONING'!K27</f>
        <v>0</v>
      </c>
      <c r="J51" s="40">
        <f>'ASSUMPTIONS AND REASONING'!L27</f>
        <v>0</v>
      </c>
      <c r="K51" s="40">
        <f>'ASSUMPTIONS AND REASONING'!M27</f>
        <v>0</v>
      </c>
      <c r="L51" s="41">
        <f>'ASSUMPTIONS AND REASONING'!N27</f>
        <v>0</v>
      </c>
      <c r="M51" s="20"/>
      <c r="N51" s="20"/>
      <c r="O51" s="20"/>
      <c r="P51" s="20"/>
      <c r="Q51" s="20"/>
      <c r="R51" s="20"/>
      <c r="S51" s="20"/>
      <c r="T51" s="20"/>
      <c r="U51" s="20"/>
      <c r="V51" s="20"/>
      <c r="W51" s="20"/>
      <c r="X51" s="20"/>
      <c r="Y51" s="20"/>
      <c r="Z51" s="20"/>
    </row>
    <row r="52" spans="1:26" ht="14.25" customHeight="1" x14ac:dyDescent="0.3">
      <c r="A52" s="20"/>
      <c r="B52" s="32" t="s">
        <v>141</v>
      </c>
      <c r="C52" s="33">
        <v>-126.14</v>
      </c>
      <c r="D52" s="34">
        <v>-13.97</v>
      </c>
      <c r="E52" s="34">
        <v>0</v>
      </c>
      <c r="F52" s="34">
        <v>0</v>
      </c>
      <c r="G52" s="35">
        <v>0</v>
      </c>
      <c r="H52" s="39">
        <f>'ASSUMPTIONS AND REASONING'!J28</f>
        <v>0</v>
      </c>
      <c r="I52" s="40">
        <f>'ASSUMPTIONS AND REASONING'!K28</f>
        <v>0</v>
      </c>
      <c r="J52" s="40">
        <f>'ASSUMPTIONS AND REASONING'!L28</f>
        <v>0</v>
      </c>
      <c r="K52" s="40">
        <f>'ASSUMPTIONS AND REASONING'!M28</f>
        <v>0</v>
      </c>
      <c r="L52" s="41">
        <f>'ASSUMPTIONS AND REASONING'!N28</f>
        <v>0</v>
      </c>
      <c r="M52" s="20"/>
      <c r="N52" s="20"/>
      <c r="O52" s="20"/>
      <c r="P52" s="20"/>
      <c r="Q52" s="20"/>
      <c r="R52" s="20"/>
      <c r="S52" s="20"/>
      <c r="T52" s="42"/>
      <c r="U52" s="42"/>
      <c r="V52" s="42"/>
      <c r="W52" s="42"/>
      <c r="X52" s="42"/>
      <c r="Y52" s="42"/>
      <c r="Z52" s="42"/>
    </row>
    <row r="53" spans="1:26" ht="14.25" customHeight="1" x14ac:dyDescent="0.3">
      <c r="A53" s="44"/>
      <c r="B53" s="45" t="s">
        <v>142</v>
      </c>
      <c r="C53" s="46">
        <f t="shared" ref="C53:L53" si="8">C48+SUM(C50:C52)</f>
        <v>629.9199999999995</v>
      </c>
      <c r="D53" s="47">
        <f t="shared" si="8"/>
        <v>772.69000000000074</v>
      </c>
      <c r="E53" s="47">
        <f t="shared" si="8"/>
        <v>1429.3299999999995</v>
      </c>
      <c r="F53" s="47">
        <f t="shared" si="8"/>
        <v>2461.3799999999997</v>
      </c>
      <c r="G53" s="48">
        <f t="shared" si="8"/>
        <v>3109.2000000000003</v>
      </c>
      <c r="H53" s="46">
        <f t="shared" si="8"/>
        <v>2690.4874050668554</v>
      </c>
      <c r="I53" s="47">
        <f t="shared" si="8"/>
        <v>3284.3806356470081</v>
      </c>
      <c r="J53" s="47">
        <f t="shared" si="8"/>
        <v>4277.5727522157413</v>
      </c>
      <c r="K53" s="47">
        <f t="shared" si="8"/>
        <v>5252.5943754376258</v>
      </c>
      <c r="L53" s="48">
        <f t="shared" si="8"/>
        <v>6480.7132953749615</v>
      </c>
      <c r="M53" s="62"/>
      <c r="N53" s="20"/>
      <c r="O53" s="20"/>
      <c r="P53" s="20"/>
      <c r="Q53" s="20"/>
      <c r="R53" s="20"/>
      <c r="S53" s="20"/>
      <c r="T53" s="20"/>
      <c r="U53" s="20"/>
      <c r="V53" s="20"/>
      <c r="W53" s="20"/>
      <c r="X53" s="20"/>
      <c r="Y53" s="20"/>
      <c r="Z53" s="20"/>
    </row>
    <row r="54" spans="1:26" ht="14.25" customHeight="1" x14ac:dyDescent="0.3">
      <c r="A54" s="20"/>
      <c r="B54" s="55"/>
      <c r="C54" s="56"/>
      <c r="D54" s="20"/>
      <c r="E54" s="20"/>
      <c r="F54" s="20"/>
      <c r="G54" s="57"/>
      <c r="H54" s="56"/>
      <c r="I54" s="20"/>
      <c r="J54" s="20"/>
      <c r="K54" s="20"/>
      <c r="L54" s="57"/>
      <c r="M54" s="20"/>
      <c r="N54" s="20"/>
      <c r="O54" s="20"/>
      <c r="P54" s="20"/>
      <c r="Q54" s="20"/>
      <c r="R54" s="20"/>
      <c r="S54" s="20"/>
      <c r="T54" s="20"/>
      <c r="U54" s="20"/>
      <c r="V54" s="20"/>
      <c r="W54" s="20"/>
      <c r="X54" s="20"/>
      <c r="Y54" s="20"/>
      <c r="Z54" s="20"/>
    </row>
    <row r="55" spans="1:26" ht="14.25" customHeight="1" x14ac:dyDescent="0.3">
      <c r="A55" s="20"/>
      <c r="B55" s="65" t="s">
        <v>143</v>
      </c>
      <c r="C55" s="39">
        <v>148.63</v>
      </c>
      <c r="D55" s="40">
        <v>209.44</v>
      </c>
      <c r="E55" s="40">
        <v>358.87</v>
      </c>
      <c r="F55" s="40">
        <v>763.88</v>
      </c>
      <c r="G55" s="41">
        <v>862.79</v>
      </c>
      <c r="H55" s="39">
        <f>'FORECAST SCHEDULES'!I212</f>
        <v>772.39391510279813</v>
      </c>
      <c r="I55" s="40">
        <f>'FORECAST SCHEDULES'!J212</f>
        <v>811.32642620646766</v>
      </c>
      <c r="J55" s="40">
        <f>'FORECAST SCHEDULES'!K212</f>
        <v>1065.9858086028503</v>
      </c>
      <c r="K55" s="40">
        <f>'FORECAST SCHEDULES'!L212</f>
        <v>1312.8544084522302</v>
      </c>
      <c r="L55" s="41">
        <f>'FORECAST SCHEDULES'!M212</f>
        <v>1629.169608426691</v>
      </c>
      <c r="M55" s="20"/>
      <c r="N55" s="20"/>
      <c r="O55" s="20"/>
      <c r="P55" s="20"/>
      <c r="Q55" s="20"/>
      <c r="R55" s="20"/>
      <c r="S55" s="20"/>
      <c r="T55" s="20"/>
      <c r="U55" s="20"/>
      <c r="V55" s="20"/>
      <c r="W55" s="20"/>
      <c r="X55" s="20"/>
      <c r="Y55" s="20"/>
      <c r="Z55" s="20"/>
    </row>
    <row r="56" spans="1:26" ht="14.25" customHeight="1" x14ac:dyDescent="0.3">
      <c r="A56" s="20"/>
      <c r="B56" s="65" t="s">
        <v>144</v>
      </c>
      <c r="C56" s="39">
        <v>-8.8800000000000008</v>
      </c>
      <c r="D56" s="40">
        <v>-23.22</v>
      </c>
      <c r="E56" s="40">
        <v>-3.27</v>
      </c>
      <c r="F56" s="40">
        <v>-149.69</v>
      </c>
      <c r="G56" s="41">
        <v>-78.47</v>
      </c>
      <c r="H56" s="39">
        <f>'FORECAST SCHEDULES'!I213</f>
        <v>-97.980081740450217</v>
      </c>
      <c r="I56" s="40">
        <f>'FORECAST SCHEDULES'!J213</f>
        <v>13.238851913610507</v>
      </c>
      <c r="J56" s="40">
        <f>'FORECAST SCHEDULES'!K213</f>
        <v>9.0828790432482531</v>
      </c>
      <c r="K56" s="40">
        <f>'FORECAST SCHEDULES'!L213</f>
        <v>5.6332716398861615</v>
      </c>
      <c r="L56" s="41">
        <f>'FORECAST SCHEDULES'!M213</f>
        <v>-1.6468599634381238</v>
      </c>
      <c r="M56" s="20"/>
      <c r="N56" s="20"/>
      <c r="O56" s="20"/>
      <c r="P56" s="20"/>
      <c r="Q56" s="20"/>
      <c r="R56" s="20"/>
      <c r="S56" s="20"/>
      <c r="T56" s="20"/>
      <c r="U56" s="20"/>
      <c r="V56" s="20"/>
      <c r="W56" s="20"/>
      <c r="X56" s="20"/>
      <c r="Y56" s="20"/>
      <c r="Z56" s="20"/>
    </row>
    <row r="57" spans="1:26" ht="14.25" customHeight="1" x14ac:dyDescent="0.3">
      <c r="A57" s="20"/>
      <c r="B57" s="65" t="s">
        <v>145</v>
      </c>
      <c r="C57" s="39">
        <v>10.6</v>
      </c>
      <c r="D57" s="40">
        <v>0</v>
      </c>
      <c r="E57" s="40">
        <v>1.01</v>
      </c>
      <c r="F57" s="40">
        <v>1.76</v>
      </c>
      <c r="G57" s="41">
        <v>0</v>
      </c>
      <c r="H57" s="39">
        <v>0</v>
      </c>
      <c r="I57" s="40">
        <v>0</v>
      </c>
      <c r="J57" s="40">
        <v>0</v>
      </c>
      <c r="K57" s="40">
        <v>0</v>
      </c>
      <c r="L57" s="41">
        <v>0</v>
      </c>
      <c r="M57" s="20"/>
      <c r="N57" s="20"/>
      <c r="O57" s="20"/>
      <c r="P57" s="20"/>
      <c r="Q57" s="20"/>
      <c r="R57" s="20"/>
      <c r="S57" s="20"/>
      <c r="T57" s="20"/>
      <c r="U57" s="20"/>
      <c r="V57" s="20"/>
      <c r="W57" s="20"/>
      <c r="X57" s="20"/>
      <c r="Y57" s="20"/>
      <c r="Z57" s="20"/>
    </row>
    <row r="58" spans="1:26" ht="14.25" customHeight="1" x14ac:dyDescent="0.3">
      <c r="A58" s="20"/>
      <c r="B58" s="32" t="s">
        <v>146</v>
      </c>
      <c r="C58" s="36">
        <f>SUM(C55:C57)</f>
        <v>150.35</v>
      </c>
      <c r="D58" s="37">
        <f>SUM(D55:D57)</f>
        <v>186.22</v>
      </c>
      <c r="E58" s="37">
        <f>SUM(E55:E57)</f>
        <v>356.61</v>
      </c>
      <c r="F58" s="37">
        <f>SUM(F55:F57)</f>
        <v>615.95000000000005</v>
      </c>
      <c r="G58" s="38">
        <f>SUM(G55:G57)</f>
        <v>784.31999999999994</v>
      </c>
      <c r="H58" s="36">
        <f>'FORECAST SCHEDULES'!I210</f>
        <v>674.41383336234787</v>
      </c>
      <c r="I58" s="37">
        <f>'FORECAST SCHEDULES'!J210</f>
        <v>824.56527812007812</v>
      </c>
      <c r="J58" s="37">
        <f>'FORECAST SCHEDULES'!K210</f>
        <v>1075.0686876460986</v>
      </c>
      <c r="K58" s="37">
        <f>'FORECAST SCHEDULES'!L210</f>
        <v>1318.4876800921163</v>
      </c>
      <c r="L58" s="38">
        <f>'FORECAST SCHEDULES'!M210</f>
        <v>1627.5227484632528</v>
      </c>
      <c r="M58" s="20"/>
      <c r="N58" s="20"/>
      <c r="O58" s="20"/>
      <c r="P58" s="20"/>
      <c r="Q58" s="20"/>
      <c r="R58" s="20"/>
      <c r="S58" s="20"/>
      <c r="T58" s="20"/>
      <c r="U58" s="20"/>
      <c r="V58" s="20"/>
      <c r="W58" s="20"/>
      <c r="X58" s="20"/>
      <c r="Y58" s="20"/>
      <c r="Z58" s="20"/>
    </row>
    <row r="59" spans="1:26" ht="14.25" customHeight="1" x14ac:dyDescent="0.3">
      <c r="A59" s="44"/>
      <c r="B59" s="45" t="s">
        <v>147</v>
      </c>
      <c r="C59" s="46">
        <f t="shared" ref="C59:L59" si="9">C53-C58</f>
        <v>479.56999999999948</v>
      </c>
      <c r="D59" s="47">
        <f t="shared" si="9"/>
        <v>586.47000000000071</v>
      </c>
      <c r="E59" s="47">
        <f t="shared" si="9"/>
        <v>1072.7199999999993</v>
      </c>
      <c r="F59" s="47">
        <f t="shared" si="9"/>
        <v>1845.4299999999996</v>
      </c>
      <c r="G59" s="48">
        <f t="shared" si="9"/>
        <v>2324.88</v>
      </c>
      <c r="H59" s="46">
        <f t="shared" si="9"/>
        <v>2016.0735717045077</v>
      </c>
      <c r="I59" s="47">
        <f t="shared" si="9"/>
        <v>2459.8153575269298</v>
      </c>
      <c r="J59" s="47">
        <f t="shared" si="9"/>
        <v>3202.5040645696427</v>
      </c>
      <c r="K59" s="47">
        <f t="shared" si="9"/>
        <v>3934.1066953455093</v>
      </c>
      <c r="L59" s="48">
        <f t="shared" si="9"/>
        <v>4853.1905469117082</v>
      </c>
      <c r="M59" s="44"/>
      <c r="N59" s="20"/>
      <c r="O59" s="20"/>
      <c r="P59" s="20"/>
      <c r="Q59" s="20"/>
      <c r="R59" s="20"/>
      <c r="S59" s="20"/>
      <c r="T59" s="42"/>
      <c r="U59" s="42"/>
      <c r="V59" s="42"/>
      <c r="W59" s="42"/>
      <c r="X59" s="42"/>
      <c r="Y59" s="42"/>
      <c r="Z59" s="42"/>
    </row>
    <row r="60" spans="1:26" ht="14.25" customHeight="1" x14ac:dyDescent="0.3">
      <c r="A60" s="20"/>
      <c r="B60" s="55"/>
      <c r="C60" s="56"/>
      <c r="D60" s="20"/>
      <c r="E60" s="20"/>
      <c r="F60" s="20"/>
      <c r="G60" s="57"/>
      <c r="H60" s="56"/>
      <c r="I60" s="20"/>
      <c r="J60" s="20"/>
      <c r="K60" s="20"/>
      <c r="L60" s="57"/>
      <c r="M60" s="20"/>
      <c r="N60" s="20"/>
      <c r="O60" s="20"/>
      <c r="P60" s="20"/>
      <c r="Q60" s="20"/>
      <c r="R60" s="20"/>
      <c r="S60" s="20"/>
      <c r="T60" s="20"/>
      <c r="U60" s="20"/>
      <c r="V60" s="20"/>
      <c r="W60" s="20"/>
      <c r="X60" s="20"/>
      <c r="Y60" s="20"/>
      <c r="Z60" s="20"/>
    </row>
    <row r="61" spans="1:26" ht="14.25" customHeight="1" x14ac:dyDescent="0.3">
      <c r="A61" s="20"/>
      <c r="B61" s="50" t="s">
        <v>148</v>
      </c>
      <c r="C61" s="69">
        <v>-26.1</v>
      </c>
      <c r="D61" s="70">
        <v>-23.36</v>
      </c>
      <c r="E61" s="70">
        <v>-26.65</v>
      </c>
      <c r="F61" s="70">
        <v>-36.549999999999997</v>
      </c>
      <c r="G61" s="71">
        <v>-47.54</v>
      </c>
      <c r="H61" s="72">
        <f>'FORECAST SCHEDULES'!I148</f>
        <v>-50</v>
      </c>
      <c r="I61" s="73">
        <f>'FORECAST SCHEDULES'!J148</f>
        <v>-50</v>
      </c>
      <c r="J61" s="73">
        <f>'FORECAST SCHEDULES'!K148</f>
        <v>-50</v>
      </c>
      <c r="K61" s="73">
        <f>'FORECAST SCHEDULES'!L148</f>
        <v>-50</v>
      </c>
      <c r="L61" s="74">
        <f>'FORECAST SCHEDULES'!M148</f>
        <v>-50</v>
      </c>
      <c r="M61" s="20"/>
      <c r="N61" s="20"/>
      <c r="O61" s="20"/>
      <c r="P61" s="20"/>
      <c r="Q61" s="20"/>
      <c r="R61" s="20"/>
      <c r="S61" s="20"/>
      <c r="T61" s="20"/>
      <c r="U61" s="20"/>
      <c r="V61" s="20"/>
      <c r="W61" s="20"/>
      <c r="X61" s="20"/>
      <c r="Y61" s="20"/>
      <c r="Z61" s="20"/>
    </row>
    <row r="62" spans="1:26" ht="14.25" customHeight="1" x14ac:dyDescent="0.3">
      <c r="A62" s="20"/>
      <c r="B62" s="32" t="s">
        <v>149</v>
      </c>
      <c r="C62" s="33">
        <v>60.39</v>
      </c>
      <c r="D62" s="34">
        <v>47.73</v>
      </c>
      <c r="E62" s="34">
        <v>72.959999999999994</v>
      </c>
      <c r="F62" s="34">
        <v>128.09</v>
      </c>
      <c r="G62" s="35">
        <v>136.16999999999999</v>
      </c>
      <c r="H62" s="39">
        <f>-'FORECAST SCHEDULES'!I148</f>
        <v>50</v>
      </c>
      <c r="I62" s="40">
        <f>-'FORECAST SCHEDULES'!J148</f>
        <v>50</v>
      </c>
      <c r="J62" s="40">
        <f>-'FORECAST SCHEDULES'!K148</f>
        <v>50</v>
      </c>
      <c r="K62" s="40">
        <f>-'FORECAST SCHEDULES'!L148</f>
        <v>50</v>
      </c>
      <c r="L62" s="41">
        <f>-'FORECAST SCHEDULES'!M148</f>
        <v>50</v>
      </c>
      <c r="M62" s="20"/>
      <c r="N62" s="20"/>
      <c r="O62" s="20"/>
      <c r="P62" s="20"/>
      <c r="Q62" s="20"/>
      <c r="R62" s="20"/>
      <c r="S62" s="20"/>
      <c r="T62" s="20"/>
      <c r="U62" s="20"/>
      <c r="V62" s="20"/>
      <c r="W62" s="20"/>
      <c r="X62" s="20"/>
      <c r="Y62" s="20"/>
      <c r="Z62" s="20"/>
    </row>
    <row r="63" spans="1:26" ht="14.25" customHeight="1" x14ac:dyDescent="0.3">
      <c r="A63" s="44"/>
      <c r="B63" s="45" t="s">
        <v>150</v>
      </c>
      <c r="C63" s="46">
        <f t="shared" ref="C63:L63" si="10">C59+C61+C62</f>
        <v>513.85999999999945</v>
      </c>
      <c r="D63" s="47">
        <f t="shared" si="10"/>
        <v>610.84000000000071</v>
      </c>
      <c r="E63" s="47">
        <f t="shared" si="10"/>
        <v>1119.0299999999993</v>
      </c>
      <c r="F63" s="47">
        <f t="shared" si="10"/>
        <v>1936.9699999999996</v>
      </c>
      <c r="G63" s="48">
        <f t="shared" si="10"/>
        <v>2413.5100000000002</v>
      </c>
      <c r="H63" s="46">
        <f t="shared" si="10"/>
        <v>2016.0735717045077</v>
      </c>
      <c r="I63" s="47">
        <f t="shared" si="10"/>
        <v>2459.8153575269298</v>
      </c>
      <c r="J63" s="47">
        <f t="shared" si="10"/>
        <v>3202.5040645696427</v>
      </c>
      <c r="K63" s="47">
        <f t="shared" si="10"/>
        <v>3934.1066953455093</v>
      </c>
      <c r="L63" s="48">
        <f t="shared" si="10"/>
        <v>4853.1905469117082</v>
      </c>
      <c r="M63" s="62"/>
      <c r="N63" s="20"/>
      <c r="O63" s="20"/>
      <c r="P63" s="20"/>
      <c r="Q63" s="20"/>
      <c r="R63" s="20"/>
      <c r="S63" s="20"/>
      <c r="T63" s="42"/>
      <c r="U63" s="42"/>
      <c r="V63" s="42"/>
      <c r="W63" s="42"/>
      <c r="X63" s="42"/>
      <c r="Y63" s="42"/>
      <c r="Z63" s="42"/>
    </row>
    <row r="64" spans="1:26" ht="14.25" customHeight="1" x14ac:dyDescent="0.3">
      <c r="A64" s="20"/>
      <c r="B64" s="50" t="s">
        <v>151</v>
      </c>
      <c r="C64" s="56"/>
      <c r="D64" s="52">
        <f t="shared" ref="D64:L64" si="11">D63/C63-1</f>
        <v>0.18872844743704786</v>
      </c>
      <c r="E64" s="52">
        <f t="shared" si="11"/>
        <v>0.83195272084342542</v>
      </c>
      <c r="F64" s="52">
        <f t="shared" si="11"/>
        <v>0.73093661474670091</v>
      </c>
      <c r="G64" s="53">
        <f t="shared" si="11"/>
        <v>0.24602342834427016</v>
      </c>
      <c r="H64" s="54">
        <f t="shared" si="11"/>
        <v>-0.1646715481997143</v>
      </c>
      <c r="I64" s="52">
        <f t="shared" si="11"/>
        <v>0.22010198042884754</v>
      </c>
      <c r="J64" s="52">
        <f t="shared" si="11"/>
        <v>0.30192864060715663</v>
      </c>
      <c r="K64" s="52">
        <f t="shared" si="11"/>
        <v>0.22844705768521179</v>
      </c>
      <c r="L64" s="53">
        <f t="shared" si="11"/>
        <v>0.23361945232791448</v>
      </c>
      <c r="M64" s="20"/>
      <c r="N64" s="20"/>
      <c r="O64" s="20"/>
      <c r="P64" s="20"/>
      <c r="Q64" s="20"/>
      <c r="R64" s="20"/>
      <c r="S64" s="20"/>
      <c r="T64" s="20"/>
      <c r="U64" s="20"/>
      <c r="V64" s="20"/>
      <c r="W64" s="20"/>
      <c r="X64" s="20"/>
      <c r="Y64" s="20"/>
      <c r="Z64" s="20"/>
    </row>
    <row r="65" spans="1:26" ht="14.25" customHeight="1" x14ac:dyDescent="0.3">
      <c r="A65" s="20"/>
      <c r="B65" s="55"/>
      <c r="C65" s="56"/>
      <c r="D65" s="20"/>
      <c r="E65" s="20"/>
      <c r="F65" s="20"/>
      <c r="G65" s="57"/>
      <c r="H65" s="56"/>
      <c r="I65" s="20"/>
      <c r="J65" s="20"/>
      <c r="K65" s="20"/>
      <c r="L65" s="57"/>
      <c r="M65" s="20"/>
      <c r="N65" s="20"/>
      <c r="O65" s="20"/>
      <c r="P65" s="20"/>
      <c r="Q65" s="20"/>
      <c r="R65" s="20"/>
      <c r="S65" s="20"/>
      <c r="T65" s="20"/>
      <c r="U65" s="20"/>
      <c r="V65" s="20"/>
      <c r="W65" s="20"/>
      <c r="X65" s="20"/>
      <c r="Y65" s="20"/>
      <c r="Z65" s="20"/>
    </row>
    <row r="66" spans="1:26" ht="14.25" customHeight="1" x14ac:dyDescent="0.3">
      <c r="A66" s="75"/>
      <c r="B66" s="76" t="s">
        <v>152</v>
      </c>
      <c r="C66" s="77"/>
      <c r="D66" s="75"/>
      <c r="E66" s="75"/>
      <c r="F66" s="75"/>
      <c r="G66" s="78"/>
      <c r="H66" s="77"/>
      <c r="I66" s="75"/>
      <c r="J66" s="75"/>
      <c r="K66" s="75"/>
      <c r="L66" s="78"/>
      <c r="M66" s="43"/>
      <c r="N66" s="20"/>
      <c r="O66" s="20"/>
      <c r="P66" s="20"/>
      <c r="Q66" s="20"/>
      <c r="R66" s="20"/>
      <c r="S66" s="20"/>
      <c r="T66" s="20"/>
      <c r="U66" s="20"/>
      <c r="V66" s="20"/>
      <c r="W66" s="20"/>
      <c r="X66" s="20"/>
      <c r="Y66" s="20"/>
      <c r="Z66" s="20"/>
    </row>
    <row r="67" spans="1:26" ht="14.25" customHeight="1" x14ac:dyDescent="0.3">
      <c r="A67" s="20"/>
      <c r="B67" s="32" t="s">
        <v>153</v>
      </c>
      <c r="C67" s="79">
        <v>40.338000000000001</v>
      </c>
      <c r="D67" s="80">
        <v>40.338000000000001</v>
      </c>
      <c r="E67" s="80">
        <v>40.338000000000001</v>
      </c>
      <c r="F67" s="80">
        <v>40.338000000000001</v>
      </c>
      <c r="G67" s="81">
        <v>40.338000000000001</v>
      </c>
      <c r="H67" s="79">
        <v>40.338000000000001</v>
      </c>
      <c r="I67" s="80">
        <v>40.338000000000001</v>
      </c>
      <c r="J67" s="80">
        <v>40.338000000000001</v>
      </c>
      <c r="K67" s="80">
        <v>40.338000000000001</v>
      </c>
      <c r="L67" s="81">
        <v>40.338000000000001</v>
      </c>
      <c r="M67" s="20"/>
      <c r="N67" s="20"/>
      <c r="O67" s="20"/>
      <c r="P67" s="20"/>
      <c r="Q67" s="20"/>
      <c r="R67" s="20"/>
      <c r="S67" s="20"/>
      <c r="T67" s="20"/>
      <c r="U67" s="20"/>
      <c r="V67" s="20"/>
      <c r="W67" s="20"/>
      <c r="X67" s="20"/>
      <c r="Y67" s="20"/>
      <c r="Z67" s="20"/>
    </row>
    <row r="68" spans="1:26" ht="14.25" customHeight="1" x14ac:dyDescent="0.3">
      <c r="A68" s="20"/>
      <c r="B68" s="32" t="s">
        <v>154</v>
      </c>
      <c r="C68" s="79">
        <v>40.338000000000001</v>
      </c>
      <c r="D68" s="80">
        <v>40.338000000000001</v>
      </c>
      <c r="E68" s="80">
        <v>40.338000000000001</v>
      </c>
      <c r="F68" s="80">
        <v>40.338000000000001</v>
      </c>
      <c r="G68" s="81">
        <v>40.338000000000001</v>
      </c>
      <c r="H68" s="79">
        <v>40.338000000000001</v>
      </c>
      <c r="I68" s="80">
        <v>40.338000000000001</v>
      </c>
      <c r="J68" s="80">
        <v>40.338000000000001</v>
      </c>
      <c r="K68" s="80">
        <v>40.338000000000001</v>
      </c>
      <c r="L68" s="81">
        <v>40.338000000000001</v>
      </c>
      <c r="M68" s="20"/>
      <c r="N68" s="20"/>
      <c r="O68" s="20"/>
      <c r="P68" s="20"/>
      <c r="Q68" s="20"/>
      <c r="R68" s="20"/>
      <c r="S68" s="20"/>
      <c r="T68" s="20"/>
      <c r="U68" s="20"/>
      <c r="V68" s="20"/>
      <c r="W68" s="20"/>
      <c r="X68" s="20"/>
      <c r="Y68" s="20"/>
      <c r="Z68" s="20"/>
    </row>
    <row r="69" spans="1:26" ht="14.25" customHeight="1" x14ac:dyDescent="0.3">
      <c r="A69" s="20"/>
      <c r="B69" s="50" t="s">
        <v>155</v>
      </c>
      <c r="C69" s="56"/>
      <c r="D69" s="52">
        <f t="shared" ref="D69:L69" si="12">D67/C67-1</f>
        <v>0</v>
      </c>
      <c r="E69" s="52">
        <f t="shared" si="12"/>
        <v>0</v>
      </c>
      <c r="F69" s="52">
        <f t="shared" si="12"/>
        <v>0</v>
      </c>
      <c r="G69" s="53">
        <f t="shared" si="12"/>
        <v>0</v>
      </c>
      <c r="H69" s="54">
        <f t="shared" si="12"/>
        <v>0</v>
      </c>
      <c r="I69" s="52">
        <f t="shared" si="12"/>
        <v>0</v>
      </c>
      <c r="J69" s="52">
        <f t="shared" si="12"/>
        <v>0</v>
      </c>
      <c r="K69" s="52">
        <f t="shared" si="12"/>
        <v>0</v>
      </c>
      <c r="L69" s="53">
        <f t="shared" si="12"/>
        <v>0</v>
      </c>
      <c r="M69" s="20"/>
      <c r="N69" s="20"/>
      <c r="O69" s="20"/>
      <c r="P69" s="20"/>
      <c r="Q69" s="20"/>
      <c r="R69" s="20"/>
      <c r="S69" s="20"/>
      <c r="T69" s="20"/>
      <c r="U69" s="20"/>
      <c r="V69" s="20"/>
      <c r="W69" s="20"/>
      <c r="X69" s="20"/>
      <c r="Y69" s="20"/>
      <c r="Z69" s="20"/>
    </row>
    <row r="70" spans="1:26" ht="14.25" customHeight="1" x14ac:dyDescent="0.3">
      <c r="A70" s="20"/>
      <c r="B70" s="55"/>
      <c r="C70" s="56"/>
      <c r="D70" s="20"/>
      <c r="E70" s="20"/>
      <c r="F70" s="20"/>
      <c r="G70" s="57"/>
      <c r="H70" s="56"/>
      <c r="I70" s="20"/>
      <c r="J70" s="20"/>
      <c r="K70" s="20"/>
      <c r="L70" s="57"/>
      <c r="M70" s="20"/>
      <c r="N70" s="20"/>
      <c r="O70" s="20"/>
      <c r="P70" s="20"/>
      <c r="Q70" s="20"/>
      <c r="R70" s="20"/>
      <c r="S70" s="20"/>
      <c r="T70" s="20"/>
      <c r="U70" s="20"/>
      <c r="V70" s="20"/>
      <c r="W70" s="20"/>
      <c r="X70" s="20"/>
      <c r="Y70" s="20"/>
      <c r="Z70" s="20"/>
    </row>
    <row r="71" spans="1:26" ht="14.25" customHeight="1" x14ac:dyDescent="0.3">
      <c r="A71" s="20"/>
      <c r="B71" s="32" t="s">
        <v>156</v>
      </c>
      <c r="C71" s="36">
        <f t="shared" ref="C71:L71" si="13">C63/C67</f>
        <v>12.738856661212738</v>
      </c>
      <c r="D71" s="37">
        <f t="shared" si="13"/>
        <v>15.143041301006512</v>
      </c>
      <c r="E71" s="37">
        <f t="shared" si="13"/>
        <v>27.741335713223243</v>
      </c>
      <c r="F71" s="37">
        <f t="shared" si="13"/>
        <v>48.018493727998404</v>
      </c>
      <c r="G71" s="38">
        <f t="shared" si="13"/>
        <v>59.832168178888395</v>
      </c>
      <c r="H71" s="36">
        <f t="shared" si="13"/>
        <v>49.979512412725164</v>
      </c>
      <c r="I71" s="37">
        <f t="shared" si="13"/>
        <v>60.980102075634136</v>
      </c>
      <c r="J71" s="37">
        <f t="shared" si="13"/>
        <v>79.391741399416006</v>
      </c>
      <c r="K71" s="37">
        <f t="shared" si="13"/>
        <v>97.528551126617813</v>
      </c>
      <c r="L71" s="38">
        <f t="shared" si="13"/>
        <v>120.31311782715326</v>
      </c>
      <c r="M71" s="20"/>
      <c r="N71" s="20"/>
      <c r="O71" s="20"/>
      <c r="P71" s="20"/>
      <c r="Q71" s="20"/>
      <c r="R71" s="20"/>
      <c r="S71" s="20"/>
      <c r="T71" s="20"/>
      <c r="U71" s="20"/>
      <c r="V71" s="20"/>
      <c r="W71" s="20"/>
      <c r="X71" s="20"/>
      <c r="Y71" s="20"/>
      <c r="Z71" s="20"/>
    </row>
    <row r="72" spans="1:26" ht="14.25" customHeight="1" x14ac:dyDescent="0.3">
      <c r="A72" s="20"/>
      <c r="B72" s="32" t="s">
        <v>157</v>
      </c>
      <c r="C72" s="36">
        <f t="shared" ref="C72:L72" si="14">C63/C67</f>
        <v>12.738856661212738</v>
      </c>
      <c r="D72" s="37">
        <f t="shared" si="14"/>
        <v>15.143041301006512</v>
      </c>
      <c r="E72" s="37">
        <f t="shared" si="14"/>
        <v>27.741335713223243</v>
      </c>
      <c r="F72" s="37">
        <f t="shared" si="14"/>
        <v>48.018493727998404</v>
      </c>
      <c r="G72" s="38">
        <f t="shared" si="14"/>
        <v>59.832168178888395</v>
      </c>
      <c r="H72" s="36">
        <f t="shared" si="14"/>
        <v>49.979512412725164</v>
      </c>
      <c r="I72" s="37">
        <f t="shared" si="14"/>
        <v>60.980102075634136</v>
      </c>
      <c r="J72" s="37">
        <f t="shared" si="14"/>
        <v>79.391741399416006</v>
      </c>
      <c r="K72" s="37">
        <f t="shared" si="14"/>
        <v>97.528551126617813</v>
      </c>
      <c r="L72" s="38">
        <f t="shared" si="14"/>
        <v>120.31311782715326</v>
      </c>
      <c r="M72" s="20"/>
      <c r="N72" s="20"/>
      <c r="O72" s="20"/>
      <c r="P72" s="20"/>
      <c r="Q72" s="20"/>
      <c r="R72" s="20"/>
      <c r="S72" s="20"/>
      <c r="T72" s="20"/>
      <c r="U72" s="20"/>
      <c r="V72" s="20"/>
      <c r="W72" s="20"/>
      <c r="X72" s="20"/>
      <c r="Y72" s="20"/>
      <c r="Z72" s="20"/>
    </row>
    <row r="73" spans="1:26" ht="14.25" customHeight="1" x14ac:dyDescent="0.3">
      <c r="A73" s="20"/>
      <c r="B73" s="50" t="s">
        <v>158</v>
      </c>
      <c r="C73" s="56"/>
      <c r="D73" s="52">
        <f t="shared" ref="D73:L73" si="15">D71/C71-1</f>
        <v>0.18872844743704786</v>
      </c>
      <c r="E73" s="52">
        <f t="shared" si="15"/>
        <v>0.83195272084342542</v>
      </c>
      <c r="F73" s="52">
        <f t="shared" si="15"/>
        <v>0.73093661474670113</v>
      </c>
      <c r="G73" s="53">
        <f t="shared" si="15"/>
        <v>0.24602342834426993</v>
      </c>
      <c r="H73" s="54">
        <f t="shared" si="15"/>
        <v>-0.1646715481997143</v>
      </c>
      <c r="I73" s="52">
        <f t="shared" si="15"/>
        <v>0.22010198042884754</v>
      </c>
      <c r="J73" s="52">
        <f t="shared" si="15"/>
        <v>0.30192864060715663</v>
      </c>
      <c r="K73" s="52">
        <f t="shared" si="15"/>
        <v>0.22844705768521179</v>
      </c>
      <c r="L73" s="53">
        <f t="shared" si="15"/>
        <v>0.23361945232791448</v>
      </c>
      <c r="M73" s="20"/>
      <c r="N73" s="20"/>
      <c r="O73" s="20"/>
      <c r="P73" s="20"/>
      <c r="Q73" s="20"/>
      <c r="R73" s="20"/>
      <c r="S73" s="20"/>
      <c r="T73" s="20"/>
      <c r="U73" s="20"/>
      <c r="V73" s="20"/>
      <c r="W73" s="20"/>
      <c r="X73" s="20"/>
      <c r="Y73" s="20"/>
      <c r="Z73" s="20"/>
    </row>
    <row r="74" spans="1:26" ht="14.25" customHeight="1" x14ac:dyDescent="0.3">
      <c r="A74" s="20"/>
      <c r="B74" s="55"/>
      <c r="C74" s="56"/>
      <c r="D74" s="20"/>
      <c r="E74" s="20"/>
      <c r="F74" s="20"/>
      <c r="G74" s="57"/>
      <c r="H74" s="56"/>
      <c r="I74" s="20"/>
      <c r="J74" s="20"/>
      <c r="K74" s="20"/>
      <c r="L74" s="57"/>
      <c r="M74" s="20"/>
      <c r="N74" s="20"/>
      <c r="O74" s="20"/>
      <c r="P74" s="20"/>
      <c r="Q74" s="20"/>
      <c r="R74" s="20"/>
      <c r="S74" s="20"/>
      <c r="T74" s="20"/>
      <c r="U74" s="20"/>
      <c r="V74" s="20"/>
      <c r="W74" s="20"/>
      <c r="X74" s="20"/>
      <c r="Y74" s="20"/>
      <c r="Z74" s="20"/>
    </row>
    <row r="75" spans="1:26" ht="14.25" customHeight="1" x14ac:dyDescent="0.3">
      <c r="A75" s="20"/>
      <c r="B75" s="65" t="s">
        <v>159</v>
      </c>
      <c r="C75" s="39">
        <f t="shared" ref="C75:G76" si="16">C79*C$68</f>
        <v>109.11429000000001</v>
      </c>
      <c r="D75" s="40">
        <f t="shared" si="16"/>
        <v>143.19989999999999</v>
      </c>
      <c r="E75" s="40">
        <f t="shared" si="16"/>
        <v>183.53790000000001</v>
      </c>
      <c r="F75" s="40">
        <f t="shared" si="16"/>
        <v>309.39246000000003</v>
      </c>
      <c r="G75" s="41">
        <f t="shared" si="16"/>
        <v>467.71911000000006</v>
      </c>
      <c r="H75" s="39">
        <f>'FORECAST SCHEDULES'!I201</f>
        <v>362.84554411208808</v>
      </c>
      <c r="I75" s="40">
        <f>'FORECAST SCHEDULES'!J201</f>
        <v>449.99005353777386</v>
      </c>
      <c r="J75" s="40">
        <f>'FORECAST SCHEDULES'!K201</f>
        <v>602.16977566627827</v>
      </c>
      <c r="K75" s="40">
        <f>'FORECAST SCHEDULES'!L201</f>
        <v>722.49053064792759</v>
      </c>
      <c r="L75" s="41">
        <f>'FORECAST SCHEDULES'!M201</f>
        <v>897.21800511298636</v>
      </c>
      <c r="M75" s="20"/>
      <c r="N75" s="20"/>
      <c r="O75" s="20"/>
      <c r="P75" s="20"/>
      <c r="Q75" s="20"/>
      <c r="R75" s="20"/>
      <c r="S75" s="20"/>
      <c r="T75" s="20"/>
      <c r="U75" s="20"/>
      <c r="V75" s="20"/>
      <c r="W75" s="20"/>
      <c r="X75" s="20"/>
      <c r="Y75" s="20"/>
      <c r="Z75" s="20"/>
    </row>
    <row r="76" spans="1:26" ht="14.25" customHeight="1" x14ac:dyDescent="0.3">
      <c r="A76" s="20"/>
      <c r="B76" s="65" t="s">
        <v>160</v>
      </c>
      <c r="C76" s="39">
        <f t="shared" si="16"/>
        <v>36.909269999999999</v>
      </c>
      <c r="D76" s="40">
        <f t="shared" si="16"/>
        <v>32.87547</v>
      </c>
      <c r="E76" s="40">
        <f t="shared" si="16"/>
        <v>138.35934</v>
      </c>
      <c r="F76" s="40">
        <f t="shared" si="16"/>
        <v>244.24659</v>
      </c>
      <c r="G76" s="41">
        <f t="shared" si="16"/>
        <v>54.657989999999998</v>
      </c>
      <c r="H76" s="39">
        <f>'FORECAST SCHEDULES'!I203</f>
        <v>241.97652739926423</v>
      </c>
      <c r="I76" s="40">
        <f>'FORECAST SCHEDULES'!J203</f>
        <v>287.95455372030506</v>
      </c>
      <c r="J76" s="40">
        <f>'FORECAST SCHEDULES'!K203</f>
        <v>358.58144370461446</v>
      </c>
      <c r="K76" s="40">
        <f>'FORECAST SCHEDULES'!L203</f>
        <v>457.74147795572514</v>
      </c>
      <c r="L76" s="41">
        <f>'FORECAST SCHEDULES'!M203</f>
        <v>558.73915896052597</v>
      </c>
      <c r="M76" s="20"/>
      <c r="N76" s="20"/>
      <c r="O76" s="20"/>
      <c r="P76" s="20"/>
      <c r="Q76" s="20"/>
      <c r="R76" s="20"/>
      <c r="S76" s="20"/>
      <c r="T76" s="20"/>
      <c r="U76" s="20"/>
      <c r="V76" s="20"/>
      <c r="W76" s="20"/>
      <c r="X76" s="20"/>
      <c r="Y76" s="20"/>
      <c r="Z76" s="20"/>
    </row>
    <row r="77" spans="1:26" ht="14.25" customHeight="1" x14ac:dyDescent="0.3">
      <c r="A77" s="20"/>
      <c r="B77" s="32" t="s">
        <v>161</v>
      </c>
      <c r="C77" s="36">
        <f>C81*C68</f>
        <v>146.02356</v>
      </c>
      <c r="D77" s="37">
        <f>D81*D68</f>
        <v>176.07537000000002</v>
      </c>
      <c r="E77" s="37">
        <f>E81*E68</f>
        <v>321.89724000000001</v>
      </c>
      <c r="F77" s="37">
        <f>F81*F68</f>
        <v>553.63905</v>
      </c>
      <c r="G77" s="38">
        <f>G81*G68</f>
        <v>522.37709999999993</v>
      </c>
      <c r="H77" s="36">
        <f>'FORECAST SCHEDULES'!I198</f>
        <v>604.82207151135231</v>
      </c>
      <c r="I77" s="37">
        <f>'FORECAST SCHEDULES'!J198</f>
        <v>737.94460725807892</v>
      </c>
      <c r="J77" s="37">
        <f>'FORECAST SCHEDULES'!K198</f>
        <v>960.75121937089273</v>
      </c>
      <c r="K77" s="37">
        <f>'FORECAST SCHEDULES'!L198</f>
        <v>1180.2320086036527</v>
      </c>
      <c r="L77" s="38">
        <f>'FORECAST SCHEDULES'!M198</f>
        <v>1455.9571640735123</v>
      </c>
      <c r="M77" s="20"/>
      <c r="N77" s="20"/>
      <c r="O77" s="20"/>
      <c r="P77" s="20"/>
      <c r="Q77" s="20"/>
      <c r="R77" s="20"/>
      <c r="S77" s="20"/>
      <c r="T77" s="20"/>
      <c r="U77" s="20"/>
      <c r="V77" s="20"/>
      <c r="W77" s="20"/>
      <c r="X77" s="20"/>
      <c r="Y77" s="20"/>
      <c r="Z77" s="20"/>
    </row>
    <row r="78" spans="1:26" ht="14.25" customHeight="1" x14ac:dyDescent="0.3">
      <c r="A78" s="20"/>
      <c r="B78" s="32"/>
      <c r="C78" s="33"/>
      <c r="D78" s="34"/>
      <c r="E78" s="34"/>
      <c r="F78" s="34"/>
      <c r="G78" s="35"/>
      <c r="H78" s="33"/>
      <c r="I78" s="34"/>
      <c r="J78" s="34"/>
      <c r="K78" s="34"/>
      <c r="L78" s="35"/>
      <c r="M78" s="20"/>
      <c r="N78" s="20"/>
      <c r="O78" s="20"/>
      <c r="P78" s="20"/>
      <c r="Q78" s="20"/>
      <c r="R78" s="20"/>
      <c r="S78" s="20"/>
      <c r="T78" s="20"/>
      <c r="U78" s="20"/>
      <c r="V78" s="20"/>
      <c r="W78" s="20"/>
      <c r="X78" s="20"/>
      <c r="Y78" s="20"/>
      <c r="Z78" s="20"/>
    </row>
    <row r="79" spans="1:26" ht="14.25" customHeight="1" x14ac:dyDescent="0.3">
      <c r="A79" s="20"/>
      <c r="B79" s="32" t="s">
        <v>162</v>
      </c>
      <c r="C79" s="33">
        <v>2.7050000000000001</v>
      </c>
      <c r="D79" s="34">
        <v>3.55</v>
      </c>
      <c r="E79" s="34">
        <v>4.55</v>
      </c>
      <c r="F79" s="34">
        <v>7.67</v>
      </c>
      <c r="G79" s="35">
        <v>11.595000000000001</v>
      </c>
      <c r="H79" s="36">
        <f>H75/H68</f>
        <v>8.9951297563609511</v>
      </c>
      <c r="I79" s="37">
        <f>I75/I68</f>
        <v>11.15548746932852</v>
      </c>
      <c r="J79" s="37">
        <f>J75/J68</f>
        <v>14.928101930345537</v>
      </c>
      <c r="K79" s="37">
        <f>K75/K68</f>
        <v>17.910916025780345</v>
      </c>
      <c r="L79" s="38">
        <f>L75/L68</f>
        <v>22.242500994421793</v>
      </c>
      <c r="M79" s="20"/>
      <c r="N79" s="20"/>
      <c r="O79" s="20"/>
      <c r="P79" s="20"/>
      <c r="Q79" s="20"/>
      <c r="R79" s="20"/>
      <c r="S79" s="20"/>
      <c r="T79" s="20"/>
      <c r="U79" s="20"/>
      <c r="V79" s="20"/>
      <c r="W79" s="20"/>
      <c r="X79" s="20"/>
      <c r="Y79" s="20"/>
      <c r="Z79" s="20"/>
    </row>
    <row r="80" spans="1:26" ht="14.25" customHeight="1" x14ac:dyDescent="0.3">
      <c r="A80" s="20"/>
      <c r="B80" s="32" t="s">
        <v>163</v>
      </c>
      <c r="C80" s="33">
        <v>0.91500000000000004</v>
      </c>
      <c r="D80" s="34">
        <v>0.81499999999999995</v>
      </c>
      <c r="E80" s="34">
        <v>3.43</v>
      </c>
      <c r="F80" s="34">
        <v>6.0549999999999997</v>
      </c>
      <c r="G80" s="35">
        <v>1.355</v>
      </c>
      <c r="H80" s="36">
        <f>H76/H68</f>
        <v>5.9987239674565975</v>
      </c>
      <c r="I80" s="37">
        <f>I76/I68</f>
        <v>7.1385431533617201</v>
      </c>
      <c r="J80" s="37">
        <f>J76/J68</f>
        <v>8.8894204894792619</v>
      </c>
      <c r="K80" s="37">
        <f>K76/K68</f>
        <v>11.347649312204997</v>
      </c>
      <c r="L80" s="38">
        <f>L76/L68</f>
        <v>13.85143435372418</v>
      </c>
      <c r="M80" s="20"/>
      <c r="N80" s="20"/>
      <c r="O80" s="20"/>
      <c r="P80" s="20"/>
      <c r="Q80" s="20"/>
      <c r="R80" s="20"/>
      <c r="S80" s="20"/>
      <c r="T80" s="20"/>
      <c r="U80" s="20"/>
      <c r="V80" s="20"/>
      <c r="W80" s="20"/>
      <c r="X80" s="20"/>
      <c r="Y80" s="20"/>
      <c r="Z80" s="20"/>
    </row>
    <row r="81" spans="1:26" ht="14.25" customHeight="1" x14ac:dyDescent="0.3">
      <c r="A81" s="20"/>
      <c r="B81" s="32" t="s">
        <v>164</v>
      </c>
      <c r="C81" s="33">
        <v>3.62</v>
      </c>
      <c r="D81" s="34">
        <v>4.3650000000000002</v>
      </c>
      <c r="E81" s="34">
        <v>7.98</v>
      </c>
      <c r="F81" s="34">
        <v>13.725</v>
      </c>
      <c r="G81" s="35">
        <v>12.95</v>
      </c>
      <c r="H81" s="36">
        <f>H77/H68</f>
        <v>14.99385372381755</v>
      </c>
      <c r="I81" s="37">
        <f>I77/I68</f>
        <v>18.29403062269024</v>
      </c>
      <c r="J81" s="37">
        <f>J77/J68</f>
        <v>23.817522419824797</v>
      </c>
      <c r="K81" s="37">
        <f>K77/K68</f>
        <v>29.258565337985342</v>
      </c>
      <c r="L81" s="38">
        <f>L77/L68</f>
        <v>36.093935348145976</v>
      </c>
      <c r="M81" s="20"/>
      <c r="N81" s="20"/>
      <c r="O81" s="20"/>
      <c r="P81" s="20"/>
      <c r="Q81" s="20"/>
      <c r="R81" s="20"/>
      <c r="S81" s="20"/>
      <c r="T81" s="20"/>
      <c r="U81" s="20"/>
      <c r="V81" s="20"/>
      <c r="W81" s="20"/>
      <c r="X81" s="20"/>
      <c r="Y81" s="20"/>
      <c r="Z81" s="20"/>
    </row>
    <row r="82" spans="1:26" ht="14.25" customHeight="1" x14ac:dyDescent="0.3">
      <c r="A82" s="20"/>
      <c r="B82" s="50" t="s">
        <v>165</v>
      </c>
      <c r="C82" s="56"/>
      <c r="D82" s="52">
        <f t="shared" ref="D82:L82" si="17">D81/C81-1</f>
        <v>0.2058011049723758</v>
      </c>
      <c r="E82" s="52">
        <f t="shared" si="17"/>
        <v>0.82817869415807555</v>
      </c>
      <c r="F82" s="52">
        <f t="shared" si="17"/>
        <v>0.71992481203007497</v>
      </c>
      <c r="G82" s="53">
        <f t="shared" si="17"/>
        <v>-5.6466302367941701E-2</v>
      </c>
      <c r="H82" s="54">
        <f t="shared" si="17"/>
        <v>0.15782654237973359</v>
      </c>
      <c r="I82" s="52">
        <f t="shared" si="17"/>
        <v>0.22010198042884732</v>
      </c>
      <c r="J82" s="52">
        <f t="shared" si="17"/>
        <v>0.30192864060715663</v>
      </c>
      <c r="K82" s="52">
        <f t="shared" si="17"/>
        <v>0.22844705768521201</v>
      </c>
      <c r="L82" s="53">
        <f t="shared" si="17"/>
        <v>0.23361945232791426</v>
      </c>
      <c r="M82" s="20"/>
      <c r="N82" s="20"/>
      <c r="O82" s="20"/>
      <c r="P82" s="20"/>
      <c r="Q82" s="20"/>
      <c r="R82" s="20"/>
      <c r="S82" s="20"/>
      <c r="T82" s="20"/>
      <c r="U82" s="20"/>
      <c r="V82" s="20"/>
      <c r="W82" s="20"/>
      <c r="X82" s="20"/>
      <c r="Y82" s="20"/>
      <c r="Z82" s="20"/>
    </row>
    <row r="83" spans="1:26" ht="14.25" customHeight="1" x14ac:dyDescent="0.3">
      <c r="A83" s="20"/>
      <c r="B83" s="55"/>
      <c r="C83" s="56"/>
      <c r="D83" s="20"/>
      <c r="E83" s="20"/>
      <c r="F83" s="20"/>
      <c r="G83" s="57"/>
      <c r="H83" s="56"/>
      <c r="I83" s="20"/>
      <c r="J83" s="20"/>
      <c r="K83" s="20"/>
      <c r="L83" s="57"/>
      <c r="M83" s="20"/>
      <c r="N83" s="20"/>
      <c r="O83" s="20"/>
      <c r="P83" s="20"/>
      <c r="Q83" s="20"/>
      <c r="R83" s="20"/>
      <c r="S83" s="20"/>
      <c r="T83" s="20"/>
      <c r="U83" s="20"/>
      <c r="V83" s="20"/>
      <c r="W83" s="20"/>
      <c r="X83" s="20"/>
      <c r="Y83" s="20"/>
      <c r="Z83" s="20"/>
    </row>
    <row r="84" spans="1:26" ht="14.25" customHeight="1" x14ac:dyDescent="0.3">
      <c r="A84" s="20"/>
      <c r="B84" s="50" t="s">
        <v>166</v>
      </c>
      <c r="C84" s="54">
        <f t="shared" ref="C84:L84" si="18">C29/C9</f>
        <v>5.5306313027753073E-2</v>
      </c>
      <c r="D84" s="52">
        <f t="shared" si="18"/>
        <v>7.582047274858382E-2</v>
      </c>
      <c r="E84" s="52">
        <f t="shared" si="18"/>
        <v>0.10192687532419073</v>
      </c>
      <c r="F84" s="52">
        <f t="shared" si="18"/>
        <v>0.14911509753258301</v>
      </c>
      <c r="G84" s="53">
        <f t="shared" si="18"/>
        <v>0.18019958222094706</v>
      </c>
      <c r="H84" s="54">
        <f t="shared" si="18"/>
        <v>0.14326951476607966</v>
      </c>
      <c r="I84" s="52">
        <f t="shared" si="18"/>
        <v>0.17948507872686315</v>
      </c>
      <c r="J84" s="52">
        <f t="shared" si="18"/>
        <v>0.1850226721113398</v>
      </c>
      <c r="K84" s="52">
        <f t="shared" si="18"/>
        <v>0.17327019374144173</v>
      </c>
      <c r="L84" s="53">
        <f t="shared" si="18"/>
        <v>0.17974958404998326</v>
      </c>
      <c r="M84" s="20"/>
      <c r="N84" s="20"/>
      <c r="O84" s="20"/>
      <c r="P84" s="20"/>
      <c r="Q84" s="20"/>
      <c r="R84" s="20"/>
      <c r="S84" s="20"/>
      <c r="T84" s="20"/>
      <c r="U84" s="20"/>
      <c r="V84" s="20"/>
      <c r="W84" s="20"/>
      <c r="X84" s="20"/>
      <c r="Y84" s="20"/>
      <c r="Z84" s="20"/>
    </row>
    <row r="85" spans="1:26" ht="14.25" customHeight="1" x14ac:dyDescent="0.3">
      <c r="A85" s="20"/>
      <c r="B85" s="50" t="s">
        <v>167</v>
      </c>
      <c r="C85" s="54">
        <f t="shared" ref="C85:L85" si="19">C36/C9</f>
        <v>4.0569985819527407E-2</v>
      </c>
      <c r="D85" s="52">
        <f t="shared" si="19"/>
        <v>6.2824421622526841E-2</v>
      </c>
      <c r="E85" s="52">
        <f t="shared" si="19"/>
        <v>9.227077951446104E-2</v>
      </c>
      <c r="F85" s="52">
        <f t="shared" si="19"/>
        <v>0.14033367911114675</v>
      </c>
      <c r="G85" s="53">
        <f t="shared" si="19"/>
        <v>0.17012337428314506</v>
      </c>
      <c r="H85" s="54">
        <f t="shared" si="19"/>
        <v>0.1353234279115299</v>
      </c>
      <c r="I85" s="52">
        <f t="shared" si="19"/>
        <v>0.17173430654790733</v>
      </c>
      <c r="J85" s="52">
        <f t="shared" si="19"/>
        <v>0.17754806146618485</v>
      </c>
      <c r="K85" s="52">
        <f t="shared" si="19"/>
        <v>0.16677595020487704</v>
      </c>
      <c r="L85" s="53">
        <f t="shared" si="19"/>
        <v>0.17400253153525305</v>
      </c>
      <c r="M85" s="20"/>
      <c r="N85" s="20"/>
      <c r="O85" s="20"/>
      <c r="P85" s="20"/>
      <c r="Q85" s="20"/>
      <c r="R85" s="20"/>
      <c r="S85" s="20"/>
      <c r="T85" s="20"/>
      <c r="U85" s="20"/>
      <c r="V85" s="20"/>
      <c r="W85" s="20"/>
      <c r="X85" s="20"/>
      <c r="Y85" s="20"/>
      <c r="Z85" s="20"/>
    </row>
    <row r="86" spans="1:26" ht="14.25" customHeight="1" x14ac:dyDescent="0.3">
      <c r="A86" s="20"/>
      <c r="B86" s="50" t="s">
        <v>168</v>
      </c>
      <c r="C86" s="54">
        <f t="shared" ref="C86:L86" si="20">C53/C9</f>
        <v>0.1556195680637972</v>
      </c>
      <c r="D86" s="52">
        <f t="shared" si="20"/>
        <v>0.13477276532804969</v>
      </c>
      <c r="E86" s="52">
        <f t="shared" si="20"/>
        <v>0.18261110642658013</v>
      </c>
      <c r="F86" s="52">
        <f t="shared" si="20"/>
        <v>0.26000730992607674</v>
      </c>
      <c r="G86" s="53">
        <f t="shared" si="20"/>
        <v>0.27197626287189858</v>
      </c>
      <c r="H86" s="54">
        <f t="shared" si="20"/>
        <v>0.21210503647865889</v>
      </c>
      <c r="I86" s="52">
        <f t="shared" si="20"/>
        <v>0.24135528437637632</v>
      </c>
      <c r="J86" s="52">
        <f t="shared" si="20"/>
        <v>0.2899921407640389</v>
      </c>
      <c r="K86" s="52">
        <f t="shared" si="20"/>
        <v>0.31468542162600432</v>
      </c>
      <c r="L86" s="53">
        <f t="shared" si="20"/>
        <v>0.33775254084772532</v>
      </c>
      <c r="M86" s="20"/>
      <c r="N86" s="20"/>
      <c r="O86" s="20"/>
      <c r="P86" s="20"/>
      <c r="Q86" s="20"/>
      <c r="R86" s="20"/>
      <c r="S86" s="20"/>
      <c r="T86" s="20"/>
      <c r="U86" s="20"/>
      <c r="V86" s="20"/>
      <c r="W86" s="20"/>
      <c r="X86" s="20"/>
      <c r="Y86" s="20"/>
      <c r="Z86" s="20"/>
    </row>
    <row r="87" spans="1:26" ht="14.25" customHeight="1" x14ac:dyDescent="0.3">
      <c r="A87" s="20"/>
      <c r="B87" s="50" t="s">
        <v>169</v>
      </c>
      <c r="C87" s="54">
        <f t="shared" ref="C87:L87" si="21">C63/C9</f>
        <v>0.12694734449654368</v>
      </c>
      <c r="D87" s="52">
        <f t="shared" si="21"/>
        <v>0.10654285156140998</v>
      </c>
      <c r="E87" s="52">
        <f t="shared" si="21"/>
        <v>0.14296719891455151</v>
      </c>
      <c r="F87" s="52">
        <f t="shared" si="21"/>
        <v>0.20461138024503037</v>
      </c>
      <c r="G87" s="53">
        <f t="shared" si="21"/>
        <v>0.21112100546891674</v>
      </c>
      <c r="H87" s="54">
        <f t="shared" si="21"/>
        <v>0.15893750614283914</v>
      </c>
      <c r="I87" s="52">
        <f t="shared" si="21"/>
        <v>0.18076145885336331</v>
      </c>
      <c r="J87" s="52">
        <f t="shared" si="21"/>
        <v>0.21710934291159123</v>
      </c>
      <c r="K87" s="52">
        <f t="shared" si="21"/>
        <v>0.23569419902966374</v>
      </c>
      <c r="L87" s="53">
        <f t="shared" si="21"/>
        <v>0.25293163942422969</v>
      </c>
      <c r="M87" s="20"/>
      <c r="N87" s="20"/>
      <c r="O87" s="20"/>
      <c r="P87" s="20"/>
      <c r="Q87" s="20"/>
      <c r="R87" s="20"/>
      <c r="S87" s="20"/>
      <c r="T87" s="20"/>
      <c r="U87" s="20"/>
      <c r="V87" s="20"/>
      <c r="W87" s="20"/>
      <c r="X87" s="20"/>
      <c r="Y87" s="20"/>
      <c r="Z87" s="20"/>
    </row>
    <row r="88" spans="1:26" ht="14.25" customHeight="1" x14ac:dyDescent="0.3">
      <c r="A88" s="20"/>
      <c r="B88" s="55"/>
      <c r="C88" s="56"/>
      <c r="D88" s="20"/>
      <c r="E88" s="20"/>
      <c r="F88" s="20"/>
      <c r="G88" s="57"/>
      <c r="H88" s="56"/>
      <c r="I88" s="20"/>
      <c r="J88" s="20"/>
      <c r="K88" s="20"/>
      <c r="L88" s="57"/>
      <c r="M88" s="20"/>
      <c r="N88" s="20"/>
      <c r="O88" s="20"/>
      <c r="P88" s="20"/>
      <c r="Q88" s="20"/>
      <c r="R88" s="20"/>
      <c r="S88" s="20"/>
      <c r="T88" s="20"/>
      <c r="U88" s="20"/>
      <c r="V88" s="20"/>
      <c r="W88" s="20"/>
      <c r="X88" s="20"/>
      <c r="Y88" s="20"/>
      <c r="Z88" s="20"/>
    </row>
    <row r="89" spans="1:26" ht="14.25" customHeight="1" x14ac:dyDescent="0.3">
      <c r="A89" s="20"/>
      <c r="B89" s="50" t="s">
        <v>170</v>
      </c>
      <c r="C89" s="54">
        <f t="shared" ref="C89:L89" si="22">C77/C63</f>
        <v>0.2841699295527968</v>
      </c>
      <c r="D89" s="52">
        <f t="shared" si="22"/>
        <v>0.28825121144653232</v>
      </c>
      <c r="E89" s="52">
        <f t="shared" si="22"/>
        <v>0.28765738183962913</v>
      </c>
      <c r="F89" s="52">
        <f t="shared" si="22"/>
        <v>0.2858273747141154</v>
      </c>
      <c r="G89" s="53">
        <f t="shared" si="22"/>
        <v>0.21643875517399963</v>
      </c>
      <c r="H89" s="54">
        <f t="shared" si="22"/>
        <v>0.3</v>
      </c>
      <c r="I89" s="52">
        <f t="shared" si="22"/>
        <v>0.3</v>
      </c>
      <c r="J89" s="52">
        <f t="shared" si="22"/>
        <v>0.3</v>
      </c>
      <c r="K89" s="52">
        <f t="shared" si="22"/>
        <v>0.3</v>
      </c>
      <c r="L89" s="53">
        <f t="shared" si="22"/>
        <v>0.3</v>
      </c>
      <c r="M89" s="20"/>
      <c r="N89" s="20"/>
      <c r="O89" s="20"/>
      <c r="P89" s="20"/>
      <c r="Q89" s="20"/>
      <c r="R89" s="20"/>
      <c r="S89" s="20"/>
      <c r="T89" s="20"/>
      <c r="U89" s="20"/>
      <c r="V89" s="20"/>
      <c r="W89" s="20"/>
      <c r="X89" s="20"/>
      <c r="Y89" s="20"/>
      <c r="Z89" s="20"/>
    </row>
    <row r="90" spans="1:26" ht="14.25" customHeight="1" x14ac:dyDescent="0.3">
      <c r="A90" s="20"/>
      <c r="B90" s="55"/>
      <c r="C90" s="56"/>
      <c r="D90" s="20"/>
      <c r="E90" s="20"/>
      <c r="F90" s="20"/>
      <c r="G90" s="57"/>
      <c r="H90" s="56"/>
      <c r="I90" s="20"/>
      <c r="J90" s="20"/>
      <c r="K90" s="20"/>
      <c r="L90" s="57"/>
      <c r="M90" s="20"/>
      <c r="N90" s="20"/>
      <c r="O90" s="20"/>
      <c r="P90" s="20"/>
      <c r="Q90" s="20"/>
      <c r="R90" s="20"/>
      <c r="S90" s="20"/>
      <c r="T90" s="20"/>
      <c r="U90" s="20"/>
      <c r="V90" s="20"/>
      <c r="W90" s="20"/>
      <c r="X90" s="20"/>
      <c r="Y90" s="20"/>
      <c r="Z90" s="20"/>
    </row>
    <row r="91" spans="1:26" ht="14.25" customHeight="1" x14ac:dyDescent="0.3">
      <c r="A91" s="20"/>
      <c r="B91" s="32" t="s">
        <v>171</v>
      </c>
      <c r="C91" s="82"/>
      <c r="D91" s="37">
        <f>'CASH FLOW STATEMENT '!D34+'CASH FLOW STATEMENT '!D35+'CASH FLOW STATEMENT '!D37</f>
        <v>-41.189999999999991</v>
      </c>
      <c r="E91" s="37">
        <f>'CASH FLOW STATEMENT '!E34+'CASH FLOW STATEMENT '!E35+'CASH FLOW STATEMENT '!E37</f>
        <v>-115.51</v>
      </c>
      <c r="F91" s="37">
        <f>'CASH FLOW STATEMENT '!F34+'CASH FLOW STATEMENT '!F35+'CASH FLOW STATEMENT '!F37</f>
        <v>-334.76</v>
      </c>
      <c r="G91" s="38">
        <f>'CASH FLOW STATEMENT '!G34+'CASH FLOW STATEMENT '!G35+'CASH FLOW STATEMENT '!G37</f>
        <v>-483.6</v>
      </c>
      <c r="H91" s="36">
        <f>'CASH FLOW STATEMENT '!H34+'CASH FLOW STATEMENT '!H35+'CASH FLOW STATEMENT '!H37</f>
        <v>-310.79999999999995</v>
      </c>
      <c r="I91" s="37">
        <f>'CASH FLOW STATEMENT '!I34+'CASH FLOW STATEMENT '!I35+'CASH FLOW STATEMENT '!I37</f>
        <v>-147</v>
      </c>
      <c r="J91" s="37">
        <f>'CASH FLOW STATEMENT '!J34+'CASH FLOW STATEMENT '!J35+'CASH FLOW STATEMENT '!J37</f>
        <v>-72.000000000000057</v>
      </c>
      <c r="K91" s="37">
        <f>'CASH FLOW STATEMENT '!K34+'CASH FLOW STATEMENT '!K35+'CASH FLOW STATEMENT '!K37</f>
        <v>78</v>
      </c>
      <c r="L91" s="38">
        <f>'CASH FLOW STATEMENT '!L34+'CASH FLOW STATEMENT '!L35+'CASH FLOW STATEMENT '!L37</f>
        <v>88</v>
      </c>
      <c r="M91" s="83"/>
      <c r="N91" s="20"/>
      <c r="O91" s="20"/>
      <c r="P91" s="20"/>
      <c r="Q91" s="20"/>
      <c r="R91" s="20"/>
      <c r="S91" s="20"/>
      <c r="T91" s="20"/>
      <c r="U91" s="20"/>
      <c r="V91" s="20"/>
      <c r="W91" s="20"/>
      <c r="X91" s="20"/>
      <c r="Y91" s="20"/>
      <c r="Z91" s="20"/>
    </row>
    <row r="92" spans="1:26" ht="14.25" customHeight="1" x14ac:dyDescent="0.3">
      <c r="A92" s="20"/>
      <c r="B92" s="55"/>
      <c r="C92" s="56"/>
      <c r="D92" s="20"/>
      <c r="E92" s="20"/>
      <c r="F92" s="20"/>
      <c r="G92" s="57"/>
      <c r="H92" s="56"/>
      <c r="I92" s="20"/>
      <c r="J92" s="20"/>
      <c r="K92" s="20"/>
      <c r="L92" s="57"/>
      <c r="M92" s="20"/>
      <c r="N92" s="20"/>
      <c r="O92" s="20"/>
      <c r="P92" s="20"/>
      <c r="Q92" s="20"/>
      <c r="R92" s="20"/>
      <c r="S92" s="20"/>
      <c r="T92" s="20"/>
      <c r="U92" s="20"/>
      <c r="V92" s="20"/>
      <c r="W92" s="20"/>
      <c r="X92" s="20"/>
      <c r="Y92" s="20"/>
      <c r="Z92" s="20"/>
    </row>
    <row r="93" spans="1:26" ht="14.25" customHeight="1" x14ac:dyDescent="0.3">
      <c r="A93" s="20"/>
      <c r="B93" s="65" t="s">
        <v>172</v>
      </c>
      <c r="C93" s="39">
        <v>237.16</v>
      </c>
      <c r="D93" s="40">
        <v>291.3</v>
      </c>
      <c r="E93" s="40">
        <v>342.93</v>
      </c>
      <c r="F93" s="40">
        <v>398.77</v>
      </c>
      <c r="G93" s="41">
        <v>476.37</v>
      </c>
      <c r="H93" s="39">
        <f>'FORECAST SCHEDULES'!I32</f>
        <v>542.31714397231815</v>
      </c>
      <c r="I93" s="40">
        <f>'FORECAST SCHEDULES'!J32</f>
        <v>612.14521633501442</v>
      </c>
      <c r="J93" s="40">
        <f>'FORECAST SCHEDULES'!K32</f>
        <v>686.84847169987859</v>
      </c>
      <c r="K93" s="40">
        <f>'FORECAST SCHEDULES'!L32</f>
        <v>759.89971891848836</v>
      </c>
      <c r="L93" s="41">
        <f>'FORECAST SCHEDULES'!M32</f>
        <v>834.65775537891204</v>
      </c>
      <c r="M93" s="20"/>
      <c r="N93" s="20"/>
      <c r="O93" s="20"/>
      <c r="P93" s="20"/>
      <c r="Q93" s="20"/>
      <c r="R93" s="20"/>
      <c r="S93" s="20"/>
      <c r="T93" s="20"/>
      <c r="U93" s="20"/>
      <c r="V93" s="20"/>
      <c r="W93" s="20"/>
      <c r="X93" s="20"/>
      <c r="Y93" s="20"/>
      <c r="Z93" s="20"/>
    </row>
    <row r="94" spans="1:26" ht="14.25" customHeight="1" x14ac:dyDescent="0.3">
      <c r="A94" s="20"/>
      <c r="B94" s="65" t="s">
        <v>173</v>
      </c>
      <c r="C94" s="39">
        <v>39.6</v>
      </c>
      <c r="D94" s="40">
        <v>45.1</v>
      </c>
      <c r="E94" s="40">
        <v>59.31</v>
      </c>
      <c r="F94" s="40">
        <v>45.62</v>
      </c>
      <c r="G94" s="41">
        <v>69.59</v>
      </c>
      <c r="H94" s="39">
        <f>G94-'FORECAST SCHEDULES'!I55</f>
        <v>92.18</v>
      </c>
      <c r="I94" s="40">
        <f>H94-'FORECAST SCHEDULES'!J55</f>
        <v>114.77000000000001</v>
      </c>
      <c r="J94" s="40">
        <f>I94-'FORECAST SCHEDULES'!K55</f>
        <v>137.36000000000001</v>
      </c>
      <c r="K94" s="40">
        <f>J94-'FORECAST SCHEDULES'!L55</f>
        <v>159.95000000000002</v>
      </c>
      <c r="L94" s="41">
        <f>K94-'FORECAST SCHEDULES'!M55</f>
        <v>182.54000000000002</v>
      </c>
      <c r="M94" s="20"/>
      <c r="N94" s="20"/>
      <c r="O94" s="20"/>
      <c r="P94" s="20"/>
      <c r="Q94" s="20"/>
      <c r="R94" s="20"/>
      <c r="S94" s="20"/>
      <c r="T94" s="20"/>
      <c r="U94" s="20"/>
      <c r="V94" s="20"/>
      <c r="W94" s="20"/>
      <c r="X94" s="20"/>
      <c r="Y94" s="20"/>
      <c r="Z94" s="20"/>
    </row>
    <row r="95" spans="1:26" ht="14.25" customHeight="1" x14ac:dyDescent="0.3">
      <c r="A95" s="43"/>
      <c r="B95" s="28" t="s">
        <v>174</v>
      </c>
      <c r="C95" s="84">
        <f t="shared" ref="C95:L95" si="23">C93+C94</f>
        <v>276.76</v>
      </c>
      <c r="D95" s="85">
        <f t="shared" si="23"/>
        <v>336.40000000000003</v>
      </c>
      <c r="E95" s="85">
        <f t="shared" si="23"/>
        <v>402.24</v>
      </c>
      <c r="F95" s="85">
        <f t="shared" si="23"/>
        <v>444.39</v>
      </c>
      <c r="G95" s="86">
        <f t="shared" si="23"/>
        <v>545.96</v>
      </c>
      <c r="H95" s="84">
        <f t="shared" si="23"/>
        <v>634.4971439723181</v>
      </c>
      <c r="I95" s="85">
        <f t="shared" si="23"/>
        <v>726.91521633501441</v>
      </c>
      <c r="J95" s="85">
        <f t="shared" si="23"/>
        <v>824.2084716998786</v>
      </c>
      <c r="K95" s="85">
        <f t="shared" si="23"/>
        <v>919.84971891848841</v>
      </c>
      <c r="L95" s="86">
        <f t="shared" si="23"/>
        <v>1017.197755378912</v>
      </c>
      <c r="M95" s="43"/>
      <c r="N95" s="43"/>
      <c r="O95" s="43"/>
      <c r="P95" s="43"/>
      <c r="Q95" s="43"/>
      <c r="R95" s="43"/>
      <c r="S95" s="43"/>
      <c r="T95" s="43"/>
      <c r="U95" s="43"/>
      <c r="V95" s="43"/>
      <c r="W95" s="43"/>
      <c r="X95" s="43"/>
      <c r="Y95" s="43"/>
      <c r="Z95" s="43"/>
    </row>
    <row r="96" spans="1:26" ht="14.25" customHeight="1" x14ac:dyDescent="0.3">
      <c r="A96" s="20"/>
      <c r="B96" s="55"/>
      <c r="C96" s="56"/>
      <c r="D96" s="20"/>
      <c r="E96" s="20"/>
      <c r="F96" s="20"/>
      <c r="G96" s="57"/>
      <c r="H96" s="56"/>
      <c r="I96" s="20"/>
      <c r="J96" s="20"/>
      <c r="K96" s="20"/>
      <c r="L96" s="57"/>
      <c r="M96" s="20"/>
      <c r="N96" s="20"/>
      <c r="O96" s="20"/>
      <c r="P96" s="20"/>
      <c r="Q96" s="20"/>
      <c r="R96" s="20"/>
      <c r="S96" s="20"/>
      <c r="T96" s="20"/>
      <c r="U96" s="20"/>
      <c r="V96" s="20"/>
      <c r="W96" s="20"/>
      <c r="X96" s="20"/>
      <c r="Y96" s="20"/>
      <c r="Z96" s="20"/>
    </row>
    <row r="97" spans="1:26" ht="14.25" customHeight="1" x14ac:dyDescent="0.3">
      <c r="A97" s="20"/>
      <c r="B97" s="65" t="s">
        <v>175</v>
      </c>
      <c r="C97" s="39">
        <v>13.57</v>
      </c>
      <c r="D97" s="40">
        <v>-4.0599999999999996</v>
      </c>
      <c r="E97" s="40">
        <v>-0.08</v>
      </c>
      <c r="F97" s="40">
        <v>-4.5599999999999996</v>
      </c>
      <c r="G97" s="41">
        <v>-2.75</v>
      </c>
      <c r="H97" s="39">
        <f>'FORECAST SCHEDULES'!I187</f>
        <v>-2.4633333333333334</v>
      </c>
      <c r="I97" s="40">
        <f>'FORECAST SCHEDULES'!J187</f>
        <v>-3.2577777777777777</v>
      </c>
      <c r="J97" s="40">
        <f>'FORECAST SCHEDULES'!K187</f>
        <v>-2.8237037037037034</v>
      </c>
      <c r="K97" s="40">
        <f>'FORECAST SCHEDULES'!L187</f>
        <v>-2.848271604938271</v>
      </c>
      <c r="L97" s="41">
        <f>'FORECAST SCHEDULES'!M187</f>
        <v>-2.9765843621399171</v>
      </c>
      <c r="M97" s="20"/>
      <c r="N97" s="20"/>
      <c r="O97" s="20"/>
      <c r="P97" s="20"/>
      <c r="Q97" s="20"/>
      <c r="R97" s="20"/>
      <c r="S97" s="20"/>
      <c r="T97" s="20"/>
      <c r="U97" s="20"/>
      <c r="V97" s="20"/>
      <c r="W97" s="20"/>
      <c r="X97" s="20"/>
      <c r="Y97" s="20"/>
      <c r="Z97" s="20"/>
    </row>
    <row r="98" spans="1:26" ht="14.25" customHeight="1" x14ac:dyDescent="0.3">
      <c r="A98" s="20"/>
      <c r="B98" s="55"/>
      <c r="C98" s="56"/>
      <c r="D98" s="20"/>
      <c r="E98" s="20"/>
      <c r="F98" s="20"/>
      <c r="G98" s="57"/>
      <c r="H98" s="56"/>
      <c r="I98" s="20"/>
      <c r="J98" s="20"/>
      <c r="K98" s="20"/>
      <c r="L98" s="57"/>
      <c r="M98" s="20"/>
      <c r="N98" s="20"/>
      <c r="O98" s="20"/>
      <c r="P98" s="20"/>
      <c r="Q98" s="20"/>
      <c r="R98" s="20"/>
      <c r="S98" s="20"/>
      <c r="T98" s="20"/>
      <c r="U98" s="20"/>
      <c r="V98" s="20"/>
      <c r="W98" s="20"/>
      <c r="X98" s="20"/>
      <c r="Y98" s="20"/>
      <c r="Z98" s="20"/>
    </row>
    <row r="99" spans="1:26" ht="14.25" customHeight="1" x14ac:dyDescent="0.3">
      <c r="A99" s="20"/>
      <c r="B99" s="87" t="s">
        <v>176</v>
      </c>
      <c r="C99" s="88"/>
      <c r="D99" s="89">
        <v>71.41</v>
      </c>
      <c r="E99" s="89">
        <v>74.2</v>
      </c>
      <c r="F99" s="89">
        <v>54.79</v>
      </c>
      <c r="G99" s="90">
        <v>36.79</v>
      </c>
      <c r="H99" s="91">
        <f>G99*0.945</f>
        <v>34.766549999999995</v>
      </c>
      <c r="I99" s="89">
        <f>H99*0.945</f>
        <v>32.854389749999996</v>
      </c>
      <c r="J99" s="89">
        <f>I99*0.945</f>
        <v>31.047398313749994</v>
      </c>
      <c r="K99" s="89">
        <f>J99*0.945</f>
        <v>29.339791406493742</v>
      </c>
      <c r="L99" s="90">
        <f>K99*0.945</f>
        <v>27.726102879136583</v>
      </c>
      <c r="M99" s="20"/>
      <c r="N99" s="20"/>
      <c r="O99" s="20"/>
      <c r="P99" s="20"/>
      <c r="Q99" s="20"/>
      <c r="R99" s="20"/>
      <c r="S99" s="20"/>
      <c r="T99" s="20"/>
      <c r="U99" s="20"/>
      <c r="V99" s="20"/>
      <c r="W99" s="20"/>
      <c r="X99" s="20"/>
      <c r="Y99" s="20"/>
      <c r="Z99" s="20"/>
    </row>
    <row r="100" spans="1:26" ht="14.25" customHeight="1"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25" customHeight="1"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25" customHeight="1"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25" customHeight="1"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25" customHeight="1"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25" customHeight="1"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25" customHeight="1"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25" customHeight="1"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25" customHeight="1"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25" customHeight="1"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25" customHeight="1"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25" customHeight="1"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25" customHeight="1"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25" customHeight="1"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25" customHeight="1"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25" customHeight="1"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25" customHeight="1"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25" customHeight="1"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25" customHeight="1"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25" customHeight="1"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25" customHeight="1"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25" customHeight="1"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25" customHeight="1"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25" customHeight="1"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25" customHeight="1"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25" customHeight="1"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25" customHeight="1"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25" customHeight="1"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25" customHeight="1"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25" customHeight="1"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25" customHeight="1"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25" customHeight="1"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25" customHeight="1"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25" customHeight="1"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25" customHeight="1"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25" customHeight="1"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25" customHeight="1"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25" customHeight="1"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25" customHeight="1"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25" customHeight="1"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25" customHeight="1"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25" customHeight="1"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25" customHeight="1"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25" customHeight="1"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25" customHeight="1"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25" customHeight="1"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25" customHeight="1"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25" customHeight="1"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25" customHeight="1"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25" customHeight="1"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25" customHeight="1"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25" customHeight="1"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25" customHeight="1"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25" customHeight="1"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25" customHeight="1"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25" customHeight="1"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25" customHeight="1"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25" customHeight="1"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25" customHeight="1"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25" customHeight="1"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25" customHeight="1"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25" customHeight="1"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25" customHeight="1"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25" customHeight="1"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25" customHeight="1"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25" customHeight="1"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25" customHeight="1"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25" customHeight="1"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25" customHeight="1"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25" customHeight="1"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25" customHeight="1"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25" customHeight="1"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25" customHeight="1"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25" customHeight="1"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25" customHeight="1"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25" customHeight="1"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25" customHeight="1"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25" customHeight="1"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25" customHeight="1"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25" customHeight="1"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25" customHeight="1"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25" customHeight="1"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25" customHeight="1"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25" customHeight="1"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25" customHeight="1"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25" customHeight="1"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25" customHeight="1"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25" customHeight="1"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25" customHeight="1"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25" customHeight="1"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25" customHeight="1"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25" customHeight="1"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25" customHeight="1"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25" customHeight="1"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25" customHeight="1"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25" customHeight="1"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25" customHeight="1"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25" customHeight="1"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25" customHeight="1"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25" customHeight="1"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25" customHeight="1"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25" customHeight="1"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25" customHeight="1"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25" customHeight="1"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25" customHeight="1"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25" customHeight="1"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25" customHeight="1"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25" customHeight="1"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25" customHeight="1"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25" customHeight="1"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4.25" customHeight="1"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4.25" customHeight="1"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4.25" customHeight="1"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4.25" customHeight="1"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4.25" customHeight="1"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4.25" customHeight="1"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4.25" customHeight="1"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4.25" customHeight="1"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4.25" customHeight="1"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4.25" customHeight="1"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4.25" customHeight="1"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4.25" customHeight="1"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4.25" customHeight="1"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4.25" customHeight="1"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4.25" customHeight="1"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4.25" customHeight="1"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4.25" customHeight="1"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4.25" customHeight="1"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4.25" customHeight="1"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4.25" customHeight="1"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4.25" customHeight="1"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4.25" customHeight="1"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4.25" customHeight="1"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4.25" customHeight="1"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4.25" customHeight="1"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4.25" customHeight="1"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4.25" customHeight="1"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4.25" customHeight="1"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4.25" customHeight="1"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4.25" customHeight="1"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4.25" customHeight="1"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4.25" customHeight="1"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4.25" customHeight="1"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4.25" customHeight="1"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4.25" customHeight="1"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4.25" customHeight="1"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4.25" customHeight="1"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4.25" customHeight="1"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4.25" customHeight="1"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4.25" customHeight="1"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4.25" customHeight="1"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4.25" customHeight="1"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4.25" customHeight="1"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4.25" customHeight="1"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4.25" customHeight="1"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4.25" customHeight="1"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4.25" customHeight="1"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4.25" customHeight="1"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4.25" customHeight="1"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4.25" customHeight="1"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4.25" customHeight="1"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4.25" customHeight="1"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4.25" customHeight="1"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4.25" customHeight="1"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4.25" customHeight="1"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4.25" customHeight="1"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4.25" customHeight="1"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4.25" customHeight="1"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4.25" customHeight="1"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4.25" customHeight="1"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4.25" customHeight="1"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4.25" customHeight="1"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4.25" customHeight="1"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4.25" customHeight="1"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4.25" customHeight="1"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4.25" customHeight="1"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4.25" customHeight="1"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4.25" customHeight="1"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4.25" customHeight="1"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4.25" customHeight="1"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4.25" customHeight="1"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4.25" customHeight="1"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4.25" customHeight="1"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4.25" customHeight="1"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4.25" customHeight="1"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4.25" customHeight="1"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4.25" customHeight="1"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4.25" customHeight="1"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4.25" customHeight="1"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4.25" customHeight="1"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4.25" customHeight="1"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4.25" customHeight="1"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4.25" customHeight="1"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4.25" customHeight="1"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4.25" customHeight="1"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4.25" customHeight="1"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4.25" customHeight="1"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4.25" customHeight="1"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4.25" customHeight="1"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4.25" customHeight="1"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4.25" customHeight="1"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4.25" customHeight="1"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4.25" customHeight="1"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4.25" customHeight="1"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4.25" customHeight="1"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4.25" customHeight="1"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4.25" customHeight="1"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4.25" customHeight="1"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4.25" customHeight="1"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4.25" customHeight="1"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4.25" customHeight="1"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4.25" customHeight="1"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4.25" customHeight="1"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4.25" customHeight="1"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4.25" customHeight="1"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4.25" customHeight="1"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4.25" customHeight="1"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4.25" customHeight="1"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4.25" customHeight="1"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4.25" customHeight="1"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4.25" customHeight="1"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4.25" customHeight="1"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4.25" customHeight="1"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4.25" customHeight="1"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4.25" customHeight="1"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4.25" customHeight="1"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4.25" customHeight="1"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4.25" customHeight="1"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4.25" customHeight="1"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4.25" customHeight="1"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4.25" customHeight="1"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4.25" customHeight="1"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4.25" customHeight="1"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4.25" customHeight="1"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4.25" customHeight="1"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4.25" customHeight="1"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4.25" customHeight="1"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4.25" customHeight="1"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4.25" customHeight="1"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4.25" customHeight="1"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4.25" customHeight="1"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4.25" customHeight="1"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4.25" customHeight="1"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4.25" customHeight="1"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4.25" customHeight="1"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4.25" customHeight="1"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4.25" customHeight="1"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4.25" customHeight="1"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4.25" customHeight="1"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4.25" customHeight="1"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4.25" customHeight="1"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4.25" customHeight="1"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4.25" customHeight="1"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4.25" customHeight="1"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4.25" customHeight="1"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4.25" customHeight="1"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4.25" customHeight="1"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4.25" customHeight="1"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4.25" customHeight="1"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4.25" customHeight="1"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4.25" customHeight="1"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4.25" customHeight="1"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4.25" customHeight="1"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4.25" customHeight="1"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4.25" customHeight="1"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4.25" customHeight="1"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4.25" customHeight="1"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4.25" customHeight="1"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4.25" customHeight="1"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4.25" customHeight="1"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4.25" customHeight="1"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4.25" customHeight="1"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4.25" customHeight="1"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4.25" customHeight="1"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4.25" customHeight="1"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4.25" customHeight="1"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4.25" customHeight="1"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4.25" customHeight="1"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4.25" customHeight="1"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4.25" customHeight="1"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4.25" customHeight="1"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4.25" customHeight="1"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4.25" customHeight="1"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4.25" customHeight="1"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4.25" customHeight="1"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4.25" customHeight="1"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4.25" customHeight="1"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4.25" customHeight="1"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4.25" customHeight="1"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4.25" customHeight="1"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4.25" customHeight="1"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4.25" customHeight="1"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4.25" customHeight="1"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4.25" customHeight="1"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4.25" customHeight="1"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4.25" customHeight="1"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4.25" customHeight="1"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4.25" customHeight="1"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4.25" customHeight="1"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4.25" customHeight="1"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4.25" customHeight="1"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4.25" customHeight="1"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4.25" customHeight="1"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4.25" customHeight="1"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4.25" customHeight="1"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4.25" customHeight="1"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4.25" customHeight="1"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4.25" customHeight="1"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4.25" customHeight="1"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4.25" customHeight="1"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4.25" customHeight="1"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4.25" customHeight="1"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4.25" customHeight="1"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4.25" customHeight="1"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4.25" customHeight="1"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4.25" customHeight="1"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4.25" customHeight="1"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4.25" customHeight="1"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4.25" customHeight="1"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4.25" customHeight="1"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4.25" customHeight="1"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4.25" customHeight="1"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4.25" customHeight="1"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4.25" customHeight="1"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4.25" customHeight="1"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4.25" customHeight="1"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4.25" customHeight="1"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4.25" customHeight="1"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4.25" customHeight="1"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4.25" customHeight="1"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4.25" customHeight="1"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4.25" customHeight="1"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4.25" customHeight="1"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4.25" customHeight="1"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4.25" customHeight="1"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4.25" customHeight="1"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4.25" customHeight="1"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4.25" customHeight="1"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4.25" customHeight="1"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4.25" customHeight="1"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4.25" customHeight="1"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4.25" customHeight="1"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4.25" customHeight="1"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4.25" customHeight="1"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4.25" customHeight="1"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4.25" customHeight="1"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4.25" customHeight="1"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4.25" customHeight="1"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4.25" customHeight="1"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4.25" customHeight="1"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4.25" customHeight="1"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4.25" customHeight="1"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4.25" customHeight="1"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4.25" customHeight="1"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4.25" customHeight="1"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4.25" customHeight="1"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4.25" customHeight="1"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4.25" customHeight="1"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4.25" customHeight="1"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4.25" customHeight="1"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4.25" customHeight="1"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4.25" customHeight="1"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4.25" customHeight="1"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4.25" customHeight="1"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4.25" customHeight="1"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4.25" customHeight="1"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4.25" customHeight="1"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4.25" customHeight="1"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4.25" customHeight="1"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4.25" customHeight="1"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4.25" customHeight="1"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4.25" customHeight="1"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4.25" customHeight="1"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4.25" customHeight="1"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4.25" customHeight="1"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4.25" customHeight="1"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4.25" customHeight="1"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4.25" customHeight="1"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4.25" customHeight="1"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4.25" customHeight="1"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4.25" customHeight="1"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4.25" customHeight="1"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4.25" customHeight="1"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4.25" customHeight="1"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4.25" customHeight="1"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4.25" customHeight="1"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4.25" customHeight="1"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4.25" customHeight="1"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4.25" customHeight="1"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4.25" customHeight="1"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4.25" customHeight="1"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4.25" customHeight="1"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4.25" customHeight="1"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4.25" customHeight="1"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4.25" customHeight="1"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4.25" customHeight="1"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4.25" customHeight="1"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4.25" customHeight="1"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4.25" customHeight="1"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4.25" customHeight="1"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4.25" customHeight="1"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4.25" customHeight="1"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4.25" customHeight="1"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4.25" customHeight="1"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4.25" customHeight="1"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4.25" customHeight="1"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4.25" customHeight="1"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4.25" customHeight="1"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4.25" customHeight="1"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4.25" customHeight="1"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4.25" customHeight="1"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4.25" customHeight="1"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4.25" customHeight="1"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4.25" customHeight="1"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4.25" customHeight="1"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4.25" customHeight="1"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4.25" customHeight="1"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4.25" customHeight="1"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4.25" customHeight="1"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4.25" customHeight="1"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4.25" customHeight="1"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4.25" customHeight="1"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4.25" customHeight="1"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4.25" customHeight="1"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4.25" customHeight="1"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4.25" customHeight="1"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4.25" customHeight="1"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4.25" customHeight="1"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4.25" customHeight="1"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4.25" customHeight="1"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4.25" customHeight="1"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4.25" customHeight="1"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4.25" customHeight="1"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4.25" customHeight="1"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4.25" customHeight="1"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4.25" customHeight="1"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4.25" customHeight="1"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4.25" customHeight="1"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4.25" customHeight="1"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4.25" customHeight="1"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4.25" customHeight="1"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4.25" customHeight="1"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4.25" customHeight="1"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4.25" customHeight="1"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4.25" customHeight="1"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4.25" customHeight="1"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4.25" customHeight="1"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4.25" customHeight="1"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4.25" customHeight="1"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4.25" customHeight="1"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4.25" customHeight="1"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4.25" customHeight="1"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4.25" customHeight="1"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4.25" customHeight="1"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4.25" customHeight="1"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4.25" customHeight="1"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4.25" customHeight="1"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4.25" customHeight="1"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4.25" customHeight="1"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4.25" customHeight="1"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4.25" customHeight="1"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4.25" customHeight="1"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4.25" customHeight="1"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4.25" customHeight="1"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4.25" customHeight="1"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4.25" customHeight="1"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4.25" customHeight="1"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4.25" customHeight="1"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4.25" customHeight="1"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4.25" customHeight="1"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4.25" customHeight="1"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4.25" customHeight="1"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4.25" customHeight="1"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4.25" customHeight="1"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4.25" customHeight="1"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4.25" customHeight="1"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4.25" customHeight="1"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4.25" customHeight="1"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4.25" customHeight="1"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4.25" customHeight="1"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4.25" customHeight="1"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4.25" customHeight="1"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4.25" customHeight="1"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4.25" customHeight="1"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4.25" customHeight="1"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4.25" customHeight="1"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4.25" customHeight="1"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4.25" customHeight="1"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4.25" customHeight="1"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4.25" customHeight="1"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4.25" customHeight="1"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4.25" customHeight="1"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4.25" customHeight="1"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4.25" customHeight="1"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4.25" customHeight="1"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4.25" customHeight="1"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4.25" customHeight="1"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4.25" customHeight="1"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4.25" customHeight="1"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4.25" customHeight="1"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4.25" customHeight="1"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4.25" customHeight="1"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4.25" customHeight="1"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4.25" customHeight="1"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4.25" customHeight="1"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4.25" customHeight="1"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4.25" customHeight="1"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4.25" customHeight="1"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4.25" customHeight="1"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4.25" customHeight="1"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4.25" customHeight="1"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4.25" customHeight="1"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4.25" customHeight="1"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4.25" customHeight="1"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4.25" customHeight="1"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4.25" customHeight="1"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4.25" customHeight="1"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4.25" customHeight="1"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4.25" customHeight="1"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4.25" customHeight="1"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4.25" customHeight="1"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4.25" customHeight="1"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4.25" customHeight="1"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4.25" customHeight="1"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4.25" customHeight="1"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4.25" customHeight="1"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4.25" customHeight="1"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4.25" customHeight="1"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4.25" customHeight="1"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4.25" customHeight="1"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4.25" customHeight="1"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4.25" customHeight="1"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4.25" customHeight="1"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4.25" customHeight="1"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4.25" customHeight="1"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4.25" customHeight="1"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4.25" customHeight="1"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4.25" customHeight="1"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4.25" customHeight="1"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4.25" customHeight="1"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4.25" customHeight="1"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4.25" customHeight="1"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4.25" customHeight="1"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4.25" customHeight="1"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4.25" customHeight="1"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4.25" customHeight="1"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4.25" customHeight="1"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4.25" customHeight="1"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4.25" customHeight="1"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4.25" customHeight="1"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4.25" customHeight="1"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4.25" customHeight="1"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4.25" customHeight="1"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4.25" customHeight="1"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4.25" customHeight="1"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4.25" customHeight="1"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4.25" customHeight="1"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4.25" customHeight="1"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4.25" customHeight="1"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4.25" customHeight="1"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4.25" customHeight="1"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4.25" customHeight="1"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4.25" customHeight="1"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4.25" customHeight="1"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4.25" customHeight="1"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4.25" customHeight="1"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4.25" customHeight="1"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4.25" customHeight="1"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4.25" customHeight="1"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4.25" customHeight="1"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4.25" customHeight="1"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4.25" customHeight="1"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4.25" customHeight="1"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4.25" customHeight="1"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4.25" customHeight="1"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4.25" customHeight="1"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4.25" customHeight="1"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4.25" customHeight="1"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4.25" customHeight="1"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4.25" customHeight="1"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4.25" customHeight="1"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4.25" customHeight="1"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4.25" customHeight="1"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4.25" customHeight="1"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4.25" customHeight="1"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4.25" customHeight="1"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4.25" customHeight="1"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4.25" customHeight="1"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4.25" customHeight="1"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4.25" customHeight="1"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4.25" customHeight="1"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4.25" customHeight="1"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4.25" customHeight="1"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4.25" customHeight="1"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4.25" customHeight="1"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4.25" customHeight="1"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4.25" customHeight="1"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4.25" customHeight="1"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4.25" customHeight="1"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4.25" customHeight="1"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4.25" customHeight="1"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4.25" customHeight="1"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4.25" customHeight="1"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4.25" customHeight="1"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4.25" customHeight="1"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4.25" customHeight="1"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4.25" customHeight="1"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4.25" customHeight="1"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4.25" customHeight="1"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4.25" customHeight="1"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4.25" customHeight="1"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4.25" customHeight="1"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4.25" customHeight="1"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4.25" customHeight="1"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4.25" customHeight="1"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4.25" customHeight="1"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4.25" customHeight="1"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4.25" customHeight="1"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4.25" customHeight="1"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4.25" customHeight="1"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4.25" customHeight="1"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4.25" customHeight="1"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4.25" customHeight="1"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4.25" customHeight="1"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4.25" customHeight="1"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4.25" customHeight="1"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4.25" customHeight="1"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4.25" customHeight="1"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4.25" customHeight="1"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4.25" customHeight="1"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4.25" customHeight="1"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4.25" customHeight="1"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4.25" customHeight="1"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4.25" customHeight="1"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4.25" customHeight="1"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4.25" customHeight="1"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4.25" customHeight="1"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4.25" customHeight="1"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4.25" customHeight="1"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4.25" customHeight="1"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4.25" customHeight="1"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4.25" customHeight="1"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4.25" customHeight="1"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4.25" customHeight="1"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4.25" customHeight="1"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4.25" customHeight="1"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4.25" customHeight="1"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4.25" customHeight="1"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4.25" customHeight="1"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4.25" customHeight="1"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4.25" customHeight="1"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4.25" customHeight="1"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4.25" customHeight="1"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4.25" customHeight="1"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4.25" customHeight="1"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4.25" customHeight="1"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4.25" customHeight="1"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4.25" customHeight="1"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4.25" customHeight="1"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4.25" customHeight="1"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4.25" customHeight="1"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4.25" customHeight="1"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4.25" customHeight="1"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4.25" customHeight="1" x14ac:dyDescent="0.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4.25" customHeight="1" x14ac:dyDescent="0.3">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4.25" customHeight="1" x14ac:dyDescent="0.3">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4.25" customHeight="1" x14ac:dyDescent="0.3">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4.25" customHeight="1" x14ac:dyDescent="0.3">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4.25" customHeight="1" x14ac:dyDescent="0.3">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4.25" customHeight="1" x14ac:dyDescent="0.3">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4.25" customHeight="1" x14ac:dyDescent="0.3">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4.25" customHeight="1" x14ac:dyDescent="0.3">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4.25" customHeight="1" x14ac:dyDescent="0.3">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4.25" customHeight="1" x14ac:dyDescent="0.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4.25" customHeight="1" x14ac:dyDescent="0.3">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4.25" customHeight="1" x14ac:dyDescent="0.3">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4.25" customHeight="1" x14ac:dyDescent="0.3">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4.25" customHeight="1" x14ac:dyDescent="0.3">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4.25" customHeight="1" x14ac:dyDescent="0.3">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4.25" customHeight="1" x14ac:dyDescent="0.3">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4.25" customHeight="1" x14ac:dyDescent="0.3">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4.25" customHeight="1" x14ac:dyDescent="0.3">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4.25" customHeight="1" x14ac:dyDescent="0.3">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4.25" customHeight="1" x14ac:dyDescent="0.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4.25" customHeight="1" x14ac:dyDescent="0.3">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4.25" customHeight="1" x14ac:dyDescent="0.3">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4.25" customHeight="1" x14ac:dyDescent="0.3">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4.25" customHeight="1" x14ac:dyDescent="0.3">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4.25" customHeight="1" x14ac:dyDescent="0.3">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4.25" customHeight="1" x14ac:dyDescent="0.3">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4.25" customHeight="1" x14ac:dyDescent="0.3">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4.25" customHeight="1" x14ac:dyDescent="0.3">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4.25" customHeight="1" x14ac:dyDescent="0.3">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4.25" customHeight="1" x14ac:dyDescent="0.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4.25" customHeight="1" x14ac:dyDescent="0.3">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4.25" customHeight="1" x14ac:dyDescent="0.3">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4.25" customHeight="1" x14ac:dyDescent="0.3">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4.25" customHeight="1" x14ac:dyDescent="0.3">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4.25" customHeight="1" x14ac:dyDescent="0.3">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4.25" customHeight="1" x14ac:dyDescent="0.3">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4.25" customHeight="1" x14ac:dyDescent="0.3">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4.25" customHeight="1" x14ac:dyDescent="0.3">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4.25" customHeight="1" x14ac:dyDescent="0.3">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4.25" customHeight="1" x14ac:dyDescent="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4.25" customHeight="1" x14ac:dyDescent="0.3">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4.25" customHeight="1" x14ac:dyDescent="0.3">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4.25" customHeight="1" x14ac:dyDescent="0.3">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4.25" customHeight="1" x14ac:dyDescent="0.3">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4.25" customHeight="1" x14ac:dyDescent="0.3">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4.25" customHeight="1" x14ac:dyDescent="0.3">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4.25" customHeight="1" x14ac:dyDescent="0.3">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4.25" customHeight="1" x14ac:dyDescent="0.3">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4.25" customHeight="1" x14ac:dyDescent="0.3">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4.25" customHeight="1" x14ac:dyDescent="0.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4.25" customHeight="1" x14ac:dyDescent="0.3">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4.25" customHeight="1" x14ac:dyDescent="0.3">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4.25" customHeight="1" x14ac:dyDescent="0.3">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4.25" customHeight="1" x14ac:dyDescent="0.3">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4.25" customHeight="1" x14ac:dyDescent="0.3">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4.25" customHeight="1" x14ac:dyDescent="0.3">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4.25" customHeight="1" x14ac:dyDescent="0.3">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4.25" customHeight="1" x14ac:dyDescent="0.3">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4.25" customHeight="1" x14ac:dyDescent="0.3">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4.25" customHeight="1" x14ac:dyDescent="0.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4.25" customHeight="1" x14ac:dyDescent="0.3">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4.25" customHeight="1" x14ac:dyDescent="0.3">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4.25" customHeight="1" x14ac:dyDescent="0.3">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4.25" customHeight="1" x14ac:dyDescent="0.3">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4.25" customHeight="1" x14ac:dyDescent="0.3">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4.25" customHeight="1" x14ac:dyDescent="0.3">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4.25" customHeight="1" x14ac:dyDescent="0.3">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4.25" customHeight="1" x14ac:dyDescent="0.3">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4.25" customHeight="1" x14ac:dyDescent="0.3">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4.25" customHeight="1" x14ac:dyDescent="0.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4.25" customHeight="1" x14ac:dyDescent="0.3">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4.25" customHeight="1" x14ac:dyDescent="0.3">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4.25" customHeight="1" x14ac:dyDescent="0.3">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4.25" customHeight="1" x14ac:dyDescent="0.3">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4.25" customHeight="1" x14ac:dyDescent="0.3">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4.25" customHeight="1" x14ac:dyDescent="0.3">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4.25" customHeight="1" x14ac:dyDescent="0.3">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4.25" customHeight="1" x14ac:dyDescent="0.3">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4.25" customHeight="1" x14ac:dyDescent="0.3">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4.25" customHeight="1" x14ac:dyDescent="0.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4.25" customHeight="1" x14ac:dyDescent="0.3">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4.25" customHeight="1" x14ac:dyDescent="0.3">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4.25" customHeight="1" x14ac:dyDescent="0.3">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4.25" customHeight="1" x14ac:dyDescent="0.3">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4.25" customHeight="1" x14ac:dyDescent="0.3">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4.25" customHeight="1" x14ac:dyDescent="0.3">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4.25" customHeight="1" x14ac:dyDescent="0.3">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4.25" customHeight="1" x14ac:dyDescent="0.3">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4.25" customHeight="1" x14ac:dyDescent="0.3">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4.25" customHeight="1" x14ac:dyDescent="0.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4.25" customHeight="1" x14ac:dyDescent="0.3">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4.25" customHeight="1" x14ac:dyDescent="0.3">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4.25" customHeight="1" x14ac:dyDescent="0.3">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4.25" customHeight="1" x14ac:dyDescent="0.3">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4.25" customHeight="1" x14ac:dyDescent="0.3">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4.25" customHeight="1" x14ac:dyDescent="0.3">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4.25" customHeight="1" x14ac:dyDescent="0.3">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4.25" customHeight="1" x14ac:dyDescent="0.3">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4.25" customHeight="1" x14ac:dyDescent="0.3">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4.25" customHeight="1" x14ac:dyDescent="0.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4.25" customHeight="1" x14ac:dyDescent="0.3">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4.25" customHeight="1" x14ac:dyDescent="0.3">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4.25" customHeight="1" x14ac:dyDescent="0.3">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4.25" customHeight="1" x14ac:dyDescent="0.3">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4.25" customHeight="1" x14ac:dyDescent="0.3">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4.25" customHeight="1" x14ac:dyDescent="0.3">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4.25" customHeight="1" x14ac:dyDescent="0.3">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4.25" customHeight="1" x14ac:dyDescent="0.3">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4.25" customHeight="1" x14ac:dyDescent="0.3">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4.25" customHeight="1" x14ac:dyDescent="0.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4.25" customHeight="1" x14ac:dyDescent="0.3">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4.25" customHeight="1" x14ac:dyDescent="0.3">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4.25" customHeight="1" x14ac:dyDescent="0.3">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4.25" customHeight="1" x14ac:dyDescent="0.3">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4.25" customHeight="1" x14ac:dyDescent="0.3">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4.25" customHeight="1" x14ac:dyDescent="0.3">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4.25" customHeight="1" x14ac:dyDescent="0.3">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4.25" customHeight="1" x14ac:dyDescent="0.3">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4.25" customHeight="1" x14ac:dyDescent="0.3">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4.25" customHeight="1" x14ac:dyDescent="0.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4.25" customHeight="1" x14ac:dyDescent="0.3">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4.25" customHeight="1" x14ac:dyDescent="0.3">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4.25" customHeight="1" x14ac:dyDescent="0.3">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4.25" customHeight="1" x14ac:dyDescent="0.3">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4.25" customHeight="1" x14ac:dyDescent="0.3">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4.25" customHeight="1" x14ac:dyDescent="0.3">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4.25" customHeight="1" x14ac:dyDescent="0.3">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4.25" customHeight="1" x14ac:dyDescent="0.3">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4.25" customHeight="1" x14ac:dyDescent="0.3">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4.25" customHeight="1" x14ac:dyDescent="0.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4.25" customHeight="1" x14ac:dyDescent="0.3">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4.25" customHeight="1" x14ac:dyDescent="0.3">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4.25" customHeight="1" x14ac:dyDescent="0.3">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4.25" customHeight="1" x14ac:dyDescent="0.3">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4.25" customHeight="1" x14ac:dyDescent="0.3">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4.25" customHeight="1" x14ac:dyDescent="0.3">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4.25" customHeight="1" x14ac:dyDescent="0.3">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4.25" customHeight="1" x14ac:dyDescent="0.3">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4.25" customHeight="1" x14ac:dyDescent="0.3">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4.25" customHeight="1" x14ac:dyDescent="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4.25" customHeight="1" x14ac:dyDescent="0.3">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4.25" customHeight="1" x14ac:dyDescent="0.3">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4.25" customHeight="1" x14ac:dyDescent="0.3">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4.25" customHeight="1" x14ac:dyDescent="0.3">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4.25" customHeight="1" x14ac:dyDescent="0.3">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4.25" customHeight="1" x14ac:dyDescent="0.3">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4.25" customHeight="1" x14ac:dyDescent="0.3">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4.25" customHeight="1" x14ac:dyDescent="0.3">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4.25" customHeight="1" x14ac:dyDescent="0.3">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4.25" customHeight="1" x14ac:dyDescent="0.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4.25" customHeight="1" x14ac:dyDescent="0.3">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4.25" customHeight="1" x14ac:dyDescent="0.3">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4.25" customHeight="1" x14ac:dyDescent="0.3">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4.25" customHeight="1" x14ac:dyDescent="0.3">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4.25" customHeight="1" x14ac:dyDescent="0.3">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4.25" customHeight="1" x14ac:dyDescent="0.3">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4.25" customHeight="1" x14ac:dyDescent="0.3">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4.25" customHeight="1" x14ac:dyDescent="0.3">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4.25" customHeight="1" x14ac:dyDescent="0.3">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4.25" customHeight="1" x14ac:dyDescent="0.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4.25" customHeight="1" x14ac:dyDescent="0.3">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4.25" customHeight="1" x14ac:dyDescent="0.3">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4.25" customHeight="1" x14ac:dyDescent="0.3">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4.25" customHeight="1" x14ac:dyDescent="0.3">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4.25" customHeight="1" x14ac:dyDescent="0.3">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4.25" customHeight="1" x14ac:dyDescent="0.3">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4.25" customHeight="1" x14ac:dyDescent="0.3">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4.25" customHeight="1" x14ac:dyDescent="0.3">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4.25" customHeight="1" x14ac:dyDescent="0.3">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4.25" customHeight="1" x14ac:dyDescent="0.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4.25" customHeight="1" x14ac:dyDescent="0.3">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4.25" customHeight="1" x14ac:dyDescent="0.3">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4.25" customHeight="1" x14ac:dyDescent="0.3">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4.25" customHeight="1" x14ac:dyDescent="0.3">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4.25" customHeight="1" x14ac:dyDescent="0.3">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4.25" customHeight="1" x14ac:dyDescent="0.3">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4.25" customHeight="1" x14ac:dyDescent="0.3">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4.25" customHeight="1" x14ac:dyDescent="0.3">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4.25" customHeight="1" x14ac:dyDescent="0.3">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4.25" customHeight="1" x14ac:dyDescent="0.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4.25" customHeight="1" x14ac:dyDescent="0.3">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4.25" customHeight="1" x14ac:dyDescent="0.3">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4.25" customHeight="1" x14ac:dyDescent="0.3">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4.25" customHeight="1" x14ac:dyDescent="0.3">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4.25" customHeight="1" x14ac:dyDescent="0.3">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4.25" customHeight="1" x14ac:dyDescent="0.3">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4.25" customHeight="1" x14ac:dyDescent="0.3">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4.25" customHeight="1" x14ac:dyDescent="0.3">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4.25" customHeight="1" x14ac:dyDescent="0.3">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4.25" customHeight="1" x14ac:dyDescent="0.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4.25" customHeight="1" x14ac:dyDescent="0.3">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4.25" customHeight="1" x14ac:dyDescent="0.3">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4.25" customHeight="1" x14ac:dyDescent="0.3">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4.25" customHeight="1" x14ac:dyDescent="0.3">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4.25" customHeight="1" x14ac:dyDescent="0.3">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4.25" customHeight="1" x14ac:dyDescent="0.3">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4.25" customHeight="1" x14ac:dyDescent="0.3">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4.25" customHeight="1" x14ac:dyDescent="0.3">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4.25" customHeight="1" x14ac:dyDescent="0.3">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4.25" customHeight="1" x14ac:dyDescent="0.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4.25" customHeight="1" x14ac:dyDescent="0.3">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4.25" customHeight="1" x14ac:dyDescent="0.3">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4.25" customHeight="1" x14ac:dyDescent="0.3">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4.25" customHeight="1" x14ac:dyDescent="0.3">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4.25" customHeight="1" x14ac:dyDescent="0.3">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4.25" customHeight="1" x14ac:dyDescent="0.3">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4.25" customHeight="1" x14ac:dyDescent="0.3">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4.25" customHeight="1" x14ac:dyDescent="0.3">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4.25" customHeight="1" x14ac:dyDescent="0.3">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4.25" customHeight="1" x14ac:dyDescent="0.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4.25" customHeight="1" x14ac:dyDescent="0.3">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4.25" customHeight="1" x14ac:dyDescent="0.3">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4.25" customHeight="1" x14ac:dyDescent="0.3">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4.25" customHeight="1" x14ac:dyDescent="0.3">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4.25" customHeight="1" x14ac:dyDescent="0.3">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4.25" customHeight="1" x14ac:dyDescent="0.3">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4.25" customHeight="1" x14ac:dyDescent="0.3">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4.25" customHeight="1" x14ac:dyDescent="0.3">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4.25" customHeight="1" x14ac:dyDescent="0.3">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4.25" customHeight="1" x14ac:dyDescent="0.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4.25" customHeight="1" x14ac:dyDescent="0.3">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4.25" customHeight="1" x14ac:dyDescent="0.3">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4.25" customHeight="1" x14ac:dyDescent="0.3">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4.25" customHeight="1" x14ac:dyDescent="0.3">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4.25" customHeight="1" x14ac:dyDescent="0.3">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4.25" customHeight="1" x14ac:dyDescent="0.3">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4.25" customHeight="1" x14ac:dyDescent="0.3">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4.25" customHeight="1" x14ac:dyDescent="0.3">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4.25" customHeight="1" x14ac:dyDescent="0.3">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4.25" customHeight="1" x14ac:dyDescent="0.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4.25" customHeight="1" x14ac:dyDescent="0.3">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4.25" customHeight="1" x14ac:dyDescent="0.3">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4.25" customHeight="1" x14ac:dyDescent="0.3">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4.25" customHeight="1" x14ac:dyDescent="0.3">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4.25" customHeight="1" x14ac:dyDescent="0.3">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4.25" customHeight="1" x14ac:dyDescent="0.3">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4.25" customHeight="1" x14ac:dyDescent="0.3">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AG1001"/>
  <sheetViews>
    <sheetView showGridLines="0" zoomScaleNormal="100" workbookViewId="0">
      <pane xSplit="2" ySplit="2" topLeftCell="C50" activePane="bottomRight" state="frozen"/>
      <selection pane="topRight" activeCell="C1" sqref="C1"/>
      <selection pane="bottomLeft" activeCell="A3" sqref="A3"/>
      <selection pane="bottomRight" activeCell="I82" sqref="I82"/>
    </sheetView>
  </sheetViews>
  <sheetFormatPr defaultColWidth="12.6640625" defaultRowHeight="14.4" x14ac:dyDescent="0.3"/>
  <cols>
    <col min="1" max="1" width="3" style="20" customWidth="1"/>
    <col min="2" max="2" width="51.44140625" style="20" customWidth="1"/>
    <col min="3" max="7" width="10.33203125" style="20" customWidth="1"/>
    <col min="8" max="12" width="13.44140625" style="20" customWidth="1"/>
    <col min="13" max="16" width="3" style="20" customWidth="1"/>
    <col min="17" max="17" width="5.5546875" style="20" customWidth="1"/>
    <col min="18" max="18" width="3.33203125" style="20" customWidth="1"/>
    <col min="19" max="33" width="3" style="20" customWidth="1"/>
    <col min="34" max="16384" width="12.6640625" style="20"/>
  </cols>
  <sheetData>
    <row r="1" spans="1:33" ht="14.25" customHeight="1" x14ac:dyDescent="0.3">
      <c r="A1" s="92"/>
      <c r="B1" s="93"/>
      <c r="C1" s="22" t="s">
        <v>98</v>
      </c>
      <c r="D1" s="23" t="s">
        <v>98</v>
      </c>
      <c r="E1" s="23" t="s">
        <v>98</v>
      </c>
      <c r="F1" s="23" t="s">
        <v>98</v>
      </c>
      <c r="G1" s="24" t="s">
        <v>98</v>
      </c>
      <c r="H1" s="25" t="s">
        <v>99</v>
      </c>
      <c r="I1" s="26" t="s">
        <v>99</v>
      </c>
      <c r="J1" s="26" t="s">
        <v>99</v>
      </c>
      <c r="K1" s="26" t="s">
        <v>99</v>
      </c>
      <c r="L1" s="27" t="s">
        <v>99</v>
      </c>
    </row>
    <row r="2" spans="1:33" ht="14.25" customHeight="1" x14ac:dyDescent="0.3">
      <c r="B2" s="94" t="s">
        <v>100</v>
      </c>
      <c r="C2" s="29">
        <v>44286</v>
      </c>
      <c r="D2" s="30">
        <v>44651</v>
      </c>
      <c r="E2" s="30">
        <v>45016</v>
      </c>
      <c r="F2" s="30">
        <v>45382</v>
      </c>
      <c r="G2" s="31">
        <v>45747</v>
      </c>
      <c r="H2" s="29">
        <v>46112</v>
      </c>
      <c r="I2" s="30">
        <v>46477</v>
      </c>
      <c r="J2" s="30">
        <v>46843</v>
      </c>
      <c r="K2" s="30">
        <v>47208</v>
      </c>
      <c r="L2" s="31">
        <v>47573</v>
      </c>
    </row>
    <row r="3" spans="1:33" ht="14.25" customHeight="1" x14ac:dyDescent="0.3">
      <c r="A3" s="95"/>
      <c r="B3" s="96" t="s">
        <v>177</v>
      </c>
      <c r="C3" s="97"/>
      <c r="D3" s="98"/>
      <c r="E3" s="98"/>
      <c r="F3" s="98"/>
      <c r="G3" s="99"/>
      <c r="H3" s="100"/>
      <c r="I3" s="95"/>
      <c r="J3" s="95"/>
      <c r="K3" s="95"/>
      <c r="L3" s="101"/>
    </row>
    <row r="4" spans="1:33" ht="14.25" customHeight="1" x14ac:dyDescent="0.3">
      <c r="B4" s="102" t="s">
        <v>178</v>
      </c>
      <c r="C4" s="103"/>
      <c r="G4" s="104"/>
      <c r="H4" s="103"/>
      <c r="L4" s="104"/>
    </row>
    <row r="5" spans="1:33" ht="14.25" customHeight="1" x14ac:dyDescent="0.3">
      <c r="B5" s="105" t="s">
        <v>179</v>
      </c>
      <c r="C5" s="36">
        <v>794.93</v>
      </c>
      <c r="D5" s="37">
        <v>713.54</v>
      </c>
      <c r="E5" s="37">
        <v>777.63</v>
      </c>
      <c r="F5" s="37">
        <v>780.3</v>
      </c>
      <c r="G5" s="38">
        <v>773.94</v>
      </c>
      <c r="H5" s="39">
        <f>'FORECAST SCHEDULES'!I5</f>
        <v>755.44952269434827</v>
      </c>
      <c r="I5" s="40">
        <f>'FORECAST SCHEDULES'!J5</f>
        <v>738.30700588720754</v>
      </c>
      <c r="J5" s="40">
        <f>'FORECAST SCHEDULES'!K5</f>
        <v>731.58782459641736</v>
      </c>
      <c r="K5" s="40">
        <f>'FORECAST SCHEDULES'!L5</f>
        <v>691.46200947657303</v>
      </c>
      <c r="L5" s="41">
        <f>'FORECAST SCHEDULES'!M5</f>
        <v>649.568993592281</v>
      </c>
    </row>
    <row r="6" spans="1:33" ht="14.25" customHeight="1" x14ac:dyDescent="0.3">
      <c r="B6" s="105" t="s">
        <v>180</v>
      </c>
      <c r="C6" s="36">
        <v>0</v>
      </c>
      <c r="D6" s="37">
        <v>243.02</v>
      </c>
      <c r="E6" s="37">
        <v>229.34</v>
      </c>
      <c r="F6" s="37">
        <v>39.35</v>
      </c>
      <c r="G6" s="38">
        <v>670.38</v>
      </c>
      <c r="H6" s="39">
        <f>'FORECAST SCHEDULES'!I57</f>
        <v>654.79</v>
      </c>
      <c r="I6" s="40">
        <f>'FORECAST SCHEDULES'!J57</f>
        <v>639.19999999999993</v>
      </c>
      <c r="J6" s="40">
        <f>'FORECAST SCHEDULES'!K57</f>
        <v>623.6099999999999</v>
      </c>
      <c r="K6" s="40">
        <f>'FORECAST SCHEDULES'!L57</f>
        <v>608.01999999999987</v>
      </c>
      <c r="L6" s="41">
        <f>'FORECAST SCHEDULES'!M57</f>
        <v>592.42999999999984</v>
      </c>
    </row>
    <row r="7" spans="1:33" ht="14.25" customHeight="1" x14ac:dyDescent="0.3">
      <c r="A7" s="43"/>
      <c r="B7" s="94" t="s">
        <v>181</v>
      </c>
      <c r="C7" s="46">
        <f t="shared" ref="C7:L7" si="0">SUM(C5:C6)</f>
        <v>794.93</v>
      </c>
      <c r="D7" s="47">
        <f t="shared" si="0"/>
        <v>956.56</v>
      </c>
      <c r="E7" s="47">
        <f t="shared" si="0"/>
        <v>1006.97</v>
      </c>
      <c r="F7" s="47">
        <f t="shared" si="0"/>
        <v>819.65</v>
      </c>
      <c r="G7" s="48">
        <f t="shared" si="0"/>
        <v>1444.3200000000002</v>
      </c>
      <c r="H7" s="46">
        <f t="shared" si="0"/>
        <v>1410.2395226943481</v>
      </c>
      <c r="I7" s="47">
        <f t="shared" si="0"/>
        <v>1377.5070058872075</v>
      </c>
      <c r="J7" s="47">
        <f t="shared" si="0"/>
        <v>1355.1978245964174</v>
      </c>
      <c r="K7" s="47">
        <f t="shared" si="0"/>
        <v>1299.4820094765728</v>
      </c>
      <c r="L7" s="48">
        <f t="shared" si="0"/>
        <v>1241.9989935922808</v>
      </c>
      <c r="M7" s="43"/>
      <c r="N7" s="43"/>
      <c r="O7" s="43"/>
      <c r="P7" s="43"/>
      <c r="Q7" s="43"/>
      <c r="R7" s="43"/>
      <c r="S7" s="43"/>
      <c r="T7" s="43"/>
      <c r="U7" s="43"/>
      <c r="V7" s="43"/>
      <c r="W7" s="43"/>
      <c r="X7" s="43"/>
      <c r="Y7" s="43"/>
      <c r="Z7" s="43"/>
      <c r="AA7" s="43"/>
      <c r="AB7" s="43"/>
      <c r="AC7" s="43"/>
      <c r="AD7" s="43"/>
      <c r="AE7" s="43"/>
      <c r="AF7" s="43"/>
      <c r="AG7" s="43"/>
    </row>
    <row r="8" spans="1:33" ht="14.25" customHeight="1" x14ac:dyDescent="0.3">
      <c r="B8" s="106"/>
      <c r="C8" s="107"/>
      <c r="D8" s="83"/>
      <c r="E8" s="83"/>
      <c r="F8" s="83"/>
      <c r="G8" s="108"/>
      <c r="H8" s="103"/>
      <c r="L8" s="104"/>
    </row>
    <row r="9" spans="1:33" ht="14.25" customHeight="1" x14ac:dyDescent="0.3">
      <c r="B9" s="105" t="s">
        <v>182</v>
      </c>
      <c r="C9" s="36">
        <v>80.150000000000006</v>
      </c>
      <c r="D9" s="37">
        <v>86.94</v>
      </c>
      <c r="E9" s="37">
        <v>61.62</v>
      </c>
      <c r="F9" s="37">
        <v>68.239999999999995</v>
      </c>
      <c r="G9" s="38">
        <v>133.19999999999999</v>
      </c>
      <c r="H9" s="39">
        <f>'FORECAST SCHEDULES'!I21</f>
        <v>146.99999999999994</v>
      </c>
      <c r="I9" s="40">
        <f>'FORECAST SCHEDULES'!J21</f>
        <v>176.99999999999994</v>
      </c>
      <c r="J9" s="40">
        <f>'FORECAST SCHEDULES'!K21</f>
        <v>217</v>
      </c>
      <c r="K9" s="40">
        <f>'FORECAST SCHEDULES'!L21</f>
        <v>242</v>
      </c>
      <c r="L9" s="41">
        <f>'FORECAST SCHEDULES'!M21</f>
        <v>257</v>
      </c>
    </row>
    <row r="10" spans="1:33" ht="14.25" customHeight="1" x14ac:dyDescent="0.3">
      <c r="B10" s="105" t="s">
        <v>183</v>
      </c>
      <c r="C10" s="36">
        <v>11.92</v>
      </c>
      <c r="D10" s="37">
        <v>8.06</v>
      </c>
      <c r="E10" s="37">
        <v>17.36</v>
      </c>
      <c r="F10" s="37">
        <v>18.29</v>
      </c>
      <c r="G10" s="38">
        <v>21.4</v>
      </c>
      <c r="H10" s="39">
        <f>'ASSUMPTIONS AND REASONING'!J32</f>
        <v>21.4</v>
      </c>
      <c r="I10" s="40">
        <f>'ASSUMPTIONS AND REASONING'!K32</f>
        <v>21.4</v>
      </c>
      <c r="J10" s="40">
        <f>'ASSUMPTIONS AND REASONING'!L32</f>
        <v>21.4</v>
      </c>
      <c r="K10" s="40">
        <f>'ASSUMPTIONS AND REASONING'!M32</f>
        <v>21.4</v>
      </c>
      <c r="L10" s="41">
        <f>'ASSUMPTIONS AND REASONING'!N32</f>
        <v>21.4</v>
      </c>
    </row>
    <row r="11" spans="1:33" ht="14.25" customHeight="1" x14ac:dyDescent="0.3">
      <c r="B11" s="105" t="s">
        <v>184</v>
      </c>
      <c r="C11" s="36">
        <v>0</v>
      </c>
      <c r="D11" s="37">
        <v>0</v>
      </c>
      <c r="E11" s="37">
        <v>0</v>
      </c>
      <c r="F11" s="37">
        <v>3.39</v>
      </c>
      <c r="G11" s="38">
        <v>0</v>
      </c>
      <c r="H11" s="39">
        <f>'ASSUMPTIONS AND REASONING'!J33</f>
        <v>0</v>
      </c>
      <c r="I11" s="40">
        <f>'ASSUMPTIONS AND REASONING'!K33</f>
        <v>0</v>
      </c>
      <c r="J11" s="40">
        <f>'ASSUMPTIONS AND REASONING'!L33</f>
        <v>0</v>
      </c>
      <c r="K11" s="40">
        <f>'ASSUMPTIONS AND REASONING'!M33</f>
        <v>0</v>
      </c>
      <c r="L11" s="41">
        <f>'ASSUMPTIONS AND REASONING'!N33</f>
        <v>0</v>
      </c>
    </row>
    <row r="12" spans="1:33" ht="14.25" customHeight="1" x14ac:dyDescent="0.3">
      <c r="B12" s="105" t="s">
        <v>185</v>
      </c>
      <c r="C12" s="36">
        <v>6</v>
      </c>
      <c r="D12" s="37">
        <v>6</v>
      </c>
      <c r="E12" s="37">
        <v>6</v>
      </c>
      <c r="F12" s="37">
        <v>6</v>
      </c>
      <c r="G12" s="38">
        <v>6</v>
      </c>
      <c r="H12" s="39">
        <f>'FORECAST SCHEDULES'!I150</f>
        <v>6</v>
      </c>
      <c r="I12" s="40">
        <f>'FORECAST SCHEDULES'!J150</f>
        <v>6</v>
      </c>
      <c r="J12" s="40">
        <f>'FORECAST SCHEDULES'!K150</f>
        <v>6</v>
      </c>
      <c r="K12" s="40">
        <f>'FORECAST SCHEDULES'!L150</f>
        <v>6</v>
      </c>
      <c r="L12" s="41">
        <f>'FORECAST SCHEDULES'!M150</f>
        <v>6</v>
      </c>
    </row>
    <row r="13" spans="1:33" ht="14.25" customHeight="1" x14ac:dyDescent="0.3">
      <c r="B13" s="105" t="s">
        <v>186</v>
      </c>
      <c r="C13" s="36">
        <v>15.44</v>
      </c>
      <c r="D13" s="37">
        <v>17.73</v>
      </c>
      <c r="E13" s="37">
        <v>18.02</v>
      </c>
      <c r="F13" s="37">
        <v>17.649999999999999</v>
      </c>
      <c r="G13" s="38">
        <v>17.73</v>
      </c>
      <c r="H13" s="39">
        <f>'ASSUMPTIONS AND REASONING'!J34</f>
        <v>17.73</v>
      </c>
      <c r="I13" s="40">
        <f>'ASSUMPTIONS AND REASONING'!K34</f>
        <v>17.73</v>
      </c>
      <c r="J13" s="40">
        <f>'ASSUMPTIONS AND REASONING'!L34</f>
        <v>17.73</v>
      </c>
      <c r="K13" s="40">
        <f>'ASSUMPTIONS AND REASONING'!M34</f>
        <v>17.73</v>
      </c>
      <c r="L13" s="41">
        <f>'ASSUMPTIONS AND REASONING'!N34</f>
        <v>17.73</v>
      </c>
    </row>
    <row r="14" spans="1:33" ht="14.25" customHeight="1" x14ac:dyDescent="0.3">
      <c r="B14" s="105" t="s">
        <v>187</v>
      </c>
      <c r="C14" s="36">
        <v>7.1</v>
      </c>
      <c r="D14" s="37">
        <v>0</v>
      </c>
      <c r="E14" s="37">
        <v>0</v>
      </c>
      <c r="F14" s="37">
        <v>20</v>
      </c>
      <c r="G14" s="38">
        <v>20</v>
      </c>
      <c r="H14" s="39">
        <f>'ASSUMPTIONS AND REASONING'!J35</f>
        <v>20</v>
      </c>
      <c r="I14" s="40">
        <f>'ASSUMPTIONS AND REASONING'!K35</f>
        <v>20</v>
      </c>
      <c r="J14" s="40">
        <f>'ASSUMPTIONS AND REASONING'!L35</f>
        <v>20</v>
      </c>
      <c r="K14" s="40">
        <f>'ASSUMPTIONS AND REASONING'!M35</f>
        <v>20</v>
      </c>
      <c r="L14" s="41">
        <f>'ASSUMPTIONS AND REASONING'!N35</f>
        <v>20</v>
      </c>
    </row>
    <row r="15" spans="1:33" ht="14.25" customHeight="1" x14ac:dyDescent="0.3">
      <c r="B15" s="105" t="s">
        <v>188</v>
      </c>
      <c r="C15" s="36">
        <v>141.59</v>
      </c>
      <c r="D15" s="37">
        <v>141.16</v>
      </c>
      <c r="E15" s="37">
        <v>131.66999999999999</v>
      </c>
      <c r="F15" s="37">
        <v>137.44999999999999</v>
      </c>
      <c r="G15" s="38">
        <v>145.97999999999999</v>
      </c>
      <c r="H15" s="39">
        <f>'ASSUMPTIONS AND REASONING'!J36</f>
        <v>154.00889999999998</v>
      </c>
      <c r="I15" s="40">
        <f>'ASSUMPTIONS AND REASONING'!K36</f>
        <v>162.47938949999997</v>
      </c>
      <c r="J15" s="40">
        <f>'ASSUMPTIONS AND REASONING'!L36</f>
        <v>171.41575592249995</v>
      </c>
      <c r="K15" s="40">
        <f>'ASSUMPTIONS AND REASONING'!M36</f>
        <v>180.84362249823744</v>
      </c>
      <c r="L15" s="41">
        <f>'ASSUMPTIONS AND REASONING'!N36</f>
        <v>190.79002173564049</v>
      </c>
    </row>
    <row r="16" spans="1:33" ht="14.25" customHeight="1" x14ac:dyDescent="0.3">
      <c r="B16" s="105" t="s">
        <v>189</v>
      </c>
      <c r="C16" s="36">
        <v>423.61</v>
      </c>
      <c r="D16" s="37">
        <v>446.83</v>
      </c>
      <c r="E16" s="37">
        <v>450.1</v>
      </c>
      <c r="F16" s="37">
        <v>599.79999999999995</v>
      </c>
      <c r="G16" s="38">
        <v>678.27</v>
      </c>
      <c r="H16" s="39">
        <f>'FORECAST SCHEDULES'!I104</f>
        <v>776.24008174045025</v>
      </c>
      <c r="I16" s="40">
        <f>'FORECAST SCHEDULES'!J104</f>
        <v>763.00122982683979</v>
      </c>
      <c r="J16" s="40">
        <f>'FORECAST SCHEDULES'!K104</f>
        <v>753.91835078359156</v>
      </c>
      <c r="K16" s="40">
        <f>'FORECAST SCHEDULES'!L104</f>
        <v>748.28507914370539</v>
      </c>
      <c r="L16" s="41">
        <f>'FORECAST SCHEDULES'!M104</f>
        <v>749.93193910714353</v>
      </c>
    </row>
    <row r="17" spans="1:33" ht="14.25" customHeight="1" x14ac:dyDescent="0.3">
      <c r="B17" s="105" t="s">
        <v>190</v>
      </c>
      <c r="C17" s="36">
        <v>218.82</v>
      </c>
      <c r="D17" s="37">
        <v>313.2</v>
      </c>
      <c r="E17" s="37">
        <v>265.5</v>
      </c>
      <c r="F17" s="37">
        <v>178.56</v>
      </c>
      <c r="G17" s="38">
        <v>259.20999999999998</v>
      </c>
      <c r="H17" s="39">
        <f>'ASSUMPTIONS AND REASONING'!J47</f>
        <v>234.42333333333332</v>
      </c>
      <c r="I17" s="40">
        <f>'ASSUMPTIONS AND REASONING'!K47</f>
        <v>224.06444444444443</v>
      </c>
      <c r="J17" s="40">
        <f>'ASSUMPTIONS AND REASONING'!L47</f>
        <v>239.2325925925926</v>
      </c>
      <c r="K17" s="40">
        <f>'ASSUMPTIONS AND REASONING'!M47</f>
        <v>232.57345679012346</v>
      </c>
      <c r="L17" s="41">
        <f>'ASSUMPTIONS AND REASONING'!N47</f>
        <v>231.95683127572019</v>
      </c>
    </row>
    <row r="18" spans="1:33" ht="14.25" customHeight="1" x14ac:dyDescent="0.3">
      <c r="A18" s="109"/>
      <c r="B18" s="105" t="s">
        <v>191</v>
      </c>
      <c r="C18" s="36">
        <v>1.04</v>
      </c>
      <c r="D18" s="37">
        <v>3.43</v>
      </c>
      <c r="E18" s="37">
        <v>8.69</v>
      </c>
      <c r="F18" s="37">
        <v>439.86</v>
      </c>
      <c r="G18" s="38">
        <v>115.36</v>
      </c>
      <c r="H18" s="110">
        <f>'FORECAST SCHEDULES'!I99</f>
        <v>350.36</v>
      </c>
      <c r="I18" s="111">
        <f>'FORECAST SCHEDULES'!J99</f>
        <v>400.36</v>
      </c>
      <c r="J18" s="111">
        <f>'FORECAST SCHEDULES'!K99</f>
        <v>350.36</v>
      </c>
      <c r="K18" s="111">
        <f>'FORECAST SCHEDULES'!L99</f>
        <v>200.36</v>
      </c>
      <c r="L18" s="112">
        <f>'FORECAST SCHEDULES'!M99</f>
        <v>50.360000000000014</v>
      </c>
      <c r="M18" s="109"/>
      <c r="N18" s="109"/>
      <c r="O18" s="109"/>
      <c r="P18" s="109"/>
      <c r="Q18" s="109"/>
      <c r="R18" s="109"/>
      <c r="S18" s="109"/>
      <c r="T18" s="109"/>
      <c r="U18" s="109"/>
      <c r="V18" s="109"/>
      <c r="W18" s="109"/>
      <c r="X18" s="109"/>
      <c r="Y18" s="109"/>
      <c r="Z18" s="109"/>
      <c r="AA18" s="109"/>
      <c r="AB18" s="109"/>
      <c r="AC18" s="109"/>
      <c r="AD18" s="109"/>
      <c r="AE18" s="109"/>
      <c r="AF18" s="109"/>
      <c r="AG18" s="109"/>
    </row>
    <row r="19" spans="1:33" ht="14.25" customHeight="1" x14ac:dyDescent="0.3">
      <c r="B19" s="105" t="s">
        <v>192</v>
      </c>
      <c r="C19" s="36">
        <v>841.02</v>
      </c>
      <c r="D19" s="37">
        <v>724.49</v>
      </c>
      <c r="E19" s="37">
        <v>829.45</v>
      </c>
      <c r="F19" s="37">
        <v>678.94</v>
      </c>
      <c r="G19" s="38">
        <v>393.4</v>
      </c>
      <c r="H19" s="110">
        <f>'ASSUMPTIONS AND REASONING'!J37</f>
        <v>633.92999999999995</v>
      </c>
      <c r="I19" s="111">
        <f>'ASSUMPTIONS AND REASONING'!K37</f>
        <v>568.75666666666666</v>
      </c>
      <c r="J19" s="111">
        <f>'ASSUMPTIONS AND REASONING'!L37</f>
        <v>532.0288888888889</v>
      </c>
      <c r="K19" s="111">
        <f>'ASSUMPTIONS AND REASONING'!M37</f>
        <v>578.2385185185185</v>
      </c>
      <c r="L19" s="112">
        <f>'ASSUMPTIONS AND REASONING'!N37</f>
        <v>559.67469135802469</v>
      </c>
    </row>
    <row r="20" spans="1:33" ht="14.25" customHeight="1" x14ac:dyDescent="0.3">
      <c r="A20" s="44"/>
      <c r="B20" s="113" t="s">
        <v>193</v>
      </c>
      <c r="C20" s="46">
        <f t="shared" ref="C20:L20" si="1">SUM(C7:C19)</f>
        <v>2541.62</v>
      </c>
      <c r="D20" s="47">
        <f t="shared" si="1"/>
        <v>2704.4</v>
      </c>
      <c r="E20" s="47">
        <f t="shared" si="1"/>
        <v>2795.38</v>
      </c>
      <c r="F20" s="47">
        <f t="shared" si="1"/>
        <v>2987.83</v>
      </c>
      <c r="G20" s="48">
        <f t="shared" si="1"/>
        <v>3234.8700000000008</v>
      </c>
      <c r="H20" s="46">
        <f t="shared" si="1"/>
        <v>3771.3318377681317</v>
      </c>
      <c r="I20" s="47">
        <f t="shared" si="1"/>
        <v>3738.2987363251586</v>
      </c>
      <c r="J20" s="47">
        <f t="shared" si="1"/>
        <v>3684.2834127839906</v>
      </c>
      <c r="K20" s="47">
        <f t="shared" si="1"/>
        <v>3546.912686427158</v>
      </c>
      <c r="L20" s="48">
        <f t="shared" si="1"/>
        <v>3346.8424770688098</v>
      </c>
      <c r="M20" s="44"/>
      <c r="N20" s="44"/>
    </row>
    <row r="21" spans="1:33" ht="14.25" customHeight="1" x14ac:dyDescent="0.3">
      <c r="B21" s="114"/>
      <c r="C21" s="103"/>
      <c r="G21" s="104"/>
      <c r="H21" s="103"/>
      <c r="L21" s="104"/>
    </row>
    <row r="22" spans="1:33" ht="14.25" customHeight="1" x14ac:dyDescent="0.3">
      <c r="B22" s="102" t="s">
        <v>194</v>
      </c>
      <c r="C22" s="103"/>
      <c r="G22" s="104"/>
      <c r="H22" s="103"/>
      <c r="L22" s="104"/>
    </row>
    <row r="23" spans="1:33" ht="14.25" customHeight="1" x14ac:dyDescent="0.3">
      <c r="A23" s="83"/>
      <c r="B23" s="105" t="s">
        <v>195</v>
      </c>
      <c r="C23" s="36">
        <v>130.82</v>
      </c>
      <c r="D23" s="37">
        <v>138.91999999999999</v>
      </c>
      <c r="E23" s="37">
        <v>103.4</v>
      </c>
      <c r="F23" s="37">
        <v>113.3</v>
      </c>
      <c r="G23" s="38">
        <v>432.21</v>
      </c>
      <c r="H23" s="36">
        <f>'FORECAST SCHEDULES'!I74</f>
        <v>215.36177883811976</v>
      </c>
      <c r="I23" s="37">
        <f>'FORECAST SCHEDULES'!J74</f>
        <v>246.31662669440274</v>
      </c>
      <c r="J23" s="37">
        <f>'FORECAST SCHEDULES'!K74</f>
        <v>275.52124575741715</v>
      </c>
      <c r="K23" s="37">
        <f>'FORECAST SCHEDULES'!L74</f>
        <v>247.46169678021568</v>
      </c>
      <c r="L23" s="38">
        <f>'FORECAST SCHEDULES'!M74</f>
        <v>301.72758564301711</v>
      </c>
      <c r="M23" s="83"/>
      <c r="N23" s="83"/>
      <c r="O23" s="83"/>
      <c r="P23" s="83"/>
      <c r="Q23" s="83"/>
      <c r="R23" s="83"/>
      <c r="S23" s="83"/>
      <c r="T23" s="83"/>
      <c r="U23" s="83"/>
      <c r="V23" s="83"/>
      <c r="W23" s="83"/>
      <c r="X23" s="83"/>
      <c r="Y23" s="83"/>
      <c r="Z23" s="83"/>
      <c r="AA23" s="83"/>
      <c r="AB23" s="83"/>
      <c r="AC23" s="83"/>
      <c r="AD23" s="83"/>
      <c r="AE23" s="83"/>
      <c r="AF23" s="83"/>
      <c r="AG23" s="83"/>
    </row>
    <row r="24" spans="1:33" ht="14.25" customHeight="1" x14ac:dyDescent="0.3">
      <c r="A24" s="83"/>
      <c r="B24" s="105" t="s">
        <v>196</v>
      </c>
      <c r="C24" s="36">
        <v>5755.96</v>
      </c>
      <c r="D24" s="37">
        <v>7557.16</v>
      </c>
      <c r="E24" s="37">
        <v>7241.44</v>
      </c>
      <c r="F24" s="37">
        <v>5590.7</v>
      </c>
      <c r="G24" s="38">
        <v>4096.5200000000004</v>
      </c>
      <c r="H24" s="36">
        <f>'FORECAST SCHEDULES'!I75</f>
        <v>4778.8110396569291</v>
      </c>
      <c r="I24" s="37">
        <f>'FORECAST SCHEDULES'!J75</f>
        <v>4418.3207407952059</v>
      </c>
      <c r="J24" s="37">
        <f>'FORECAST SCHEDULES'!K75</f>
        <v>4043.8732358373118</v>
      </c>
      <c r="K24" s="37">
        <f>'FORECAST SCHEDULES'!L75</f>
        <v>4400.7489958540555</v>
      </c>
      <c r="L24" s="38">
        <f>'FORECAST SCHEDULES'!M75</f>
        <v>5028.2082653777261</v>
      </c>
      <c r="M24" s="83"/>
      <c r="N24" s="83"/>
      <c r="O24" s="83"/>
      <c r="P24" s="83"/>
      <c r="Q24" s="83"/>
      <c r="R24" s="83"/>
      <c r="S24" s="83"/>
      <c r="T24" s="83"/>
      <c r="U24" s="83"/>
      <c r="V24" s="83"/>
      <c r="W24" s="83"/>
      <c r="X24" s="83"/>
      <c r="Y24" s="83"/>
      <c r="Z24" s="83"/>
      <c r="AA24" s="83"/>
      <c r="AB24" s="83"/>
      <c r="AC24" s="83"/>
      <c r="AD24" s="83"/>
      <c r="AE24" s="83"/>
      <c r="AF24" s="83"/>
      <c r="AG24" s="83"/>
    </row>
    <row r="25" spans="1:33" ht="14.25" customHeight="1" x14ac:dyDescent="0.3">
      <c r="A25" s="83"/>
      <c r="B25" s="105" t="s">
        <v>197</v>
      </c>
      <c r="C25" s="36">
        <v>1.83</v>
      </c>
      <c r="D25" s="37">
        <v>4.0199999999999996</v>
      </c>
      <c r="E25" s="37">
        <v>12.02</v>
      </c>
      <c r="F25" s="37">
        <v>9.3699999999999992</v>
      </c>
      <c r="G25" s="38">
        <v>8.35</v>
      </c>
      <c r="H25" s="36">
        <f>'FORECAST SCHEDULES'!I77</f>
        <v>8.5283594550437822</v>
      </c>
      <c r="I25" s="37">
        <f>'FORECAST SCHEDULES'!J77</f>
        <v>8.076247298436936</v>
      </c>
      <c r="J25" s="37">
        <f>'FORECAST SCHEDULES'!K77</f>
        <v>7.6061842020562258</v>
      </c>
      <c r="K25" s="37">
        <f>'FORECAST SCHEDULES'!L77</f>
        <v>8.0568606693105984</v>
      </c>
      <c r="L25" s="38">
        <f>'FORECAST SCHEDULES'!M77</f>
        <v>9.2841078844538156</v>
      </c>
      <c r="M25" s="83"/>
      <c r="N25" s="83"/>
      <c r="O25" s="83"/>
      <c r="P25" s="83"/>
      <c r="Q25" s="83"/>
      <c r="R25" s="83"/>
      <c r="S25" s="83"/>
      <c r="T25" s="83"/>
      <c r="U25" s="83"/>
      <c r="V25" s="83"/>
      <c r="W25" s="83"/>
      <c r="X25" s="83"/>
      <c r="Y25" s="83"/>
      <c r="Z25" s="83"/>
      <c r="AA25" s="83"/>
      <c r="AB25" s="83"/>
      <c r="AC25" s="83"/>
      <c r="AD25" s="83"/>
      <c r="AE25" s="83"/>
      <c r="AF25" s="83"/>
      <c r="AG25" s="83"/>
    </row>
    <row r="26" spans="1:33" ht="14.25" customHeight="1" x14ac:dyDescent="0.3">
      <c r="A26" s="43"/>
      <c r="B26" s="94" t="s">
        <v>198</v>
      </c>
      <c r="C26" s="46">
        <f>SUM(C23:C25)</f>
        <v>5888.61</v>
      </c>
      <c r="D26" s="47">
        <f>SUM(D23:D25)</f>
        <v>7700.1</v>
      </c>
      <c r="E26" s="47">
        <f>SUM(E23:E25)</f>
        <v>7356.86</v>
      </c>
      <c r="F26" s="47">
        <f>SUM(F23:F25)</f>
        <v>5713.37</v>
      </c>
      <c r="G26" s="48">
        <f>SUM(G23:G25)</f>
        <v>4537.0800000000008</v>
      </c>
      <c r="H26" s="84">
        <f>'FORECAST SCHEDULES'!I73</f>
        <v>5002.7011779500926</v>
      </c>
      <c r="I26" s="85">
        <f>'FORECAST SCHEDULES'!J73</f>
        <v>4672.7136147880456</v>
      </c>
      <c r="J26" s="85">
        <f>'FORECAST SCHEDULES'!K73</f>
        <v>4327.0006657967851</v>
      </c>
      <c r="K26" s="85">
        <f>'FORECAST SCHEDULES'!L73</f>
        <v>4656.2675533035817</v>
      </c>
      <c r="L26" s="86">
        <f>'FORECAST SCHEDULES'!M73</f>
        <v>5339.219958905197</v>
      </c>
      <c r="M26" s="43"/>
      <c r="N26" s="43"/>
      <c r="O26" s="43"/>
      <c r="P26" s="43"/>
      <c r="Q26" s="43"/>
      <c r="R26" s="43"/>
      <c r="S26" s="43"/>
      <c r="T26" s="43"/>
      <c r="U26" s="43"/>
      <c r="V26" s="43"/>
      <c r="W26" s="43"/>
      <c r="X26" s="43"/>
      <c r="Y26" s="43"/>
      <c r="Z26" s="43"/>
      <c r="AA26" s="43"/>
      <c r="AB26" s="43"/>
      <c r="AC26" s="43"/>
      <c r="AD26" s="43"/>
      <c r="AE26" s="43"/>
      <c r="AF26" s="43"/>
      <c r="AG26" s="43"/>
    </row>
    <row r="27" spans="1:33" ht="14.25" customHeight="1" x14ac:dyDescent="0.3">
      <c r="A27" s="43"/>
      <c r="B27" s="115"/>
      <c r="C27" s="116"/>
      <c r="D27" s="117"/>
      <c r="E27" s="117"/>
      <c r="F27" s="117"/>
      <c r="G27" s="118"/>
      <c r="H27" s="67"/>
      <c r="I27" s="43"/>
      <c r="J27" s="43"/>
      <c r="K27" s="43"/>
      <c r="L27" s="68"/>
      <c r="M27" s="43"/>
      <c r="N27" s="43"/>
      <c r="O27" s="43"/>
      <c r="P27" s="43"/>
      <c r="Q27" s="43"/>
      <c r="R27" s="43"/>
      <c r="S27" s="43"/>
      <c r="T27" s="43"/>
      <c r="U27" s="43"/>
      <c r="V27" s="43"/>
      <c r="W27" s="43"/>
      <c r="X27" s="43"/>
      <c r="Y27" s="43"/>
      <c r="Z27" s="43"/>
      <c r="AA27" s="43"/>
      <c r="AB27" s="43"/>
      <c r="AC27" s="43"/>
      <c r="AD27" s="43"/>
      <c r="AE27" s="43"/>
      <c r="AF27" s="43"/>
      <c r="AG27" s="43"/>
    </row>
    <row r="28" spans="1:33" ht="14.25" customHeight="1" x14ac:dyDescent="0.3">
      <c r="B28" s="105" t="s">
        <v>199</v>
      </c>
      <c r="C28" s="36">
        <v>965.94</v>
      </c>
      <c r="D28" s="37">
        <v>1005.41</v>
      </c>
      <c r="E28" s="37">
        <v>1002.33</v>
      </c>
      <c r="F28" s="37">
        <v>1846.93</v>
      </c>
      <c r="G28" s="38">
        <v>1067.21</v>
      </c>
      <c r="H28" s="39">
        <f>'FORECAST SCHEDULES'!I67</f>
        <v>1785.2823568260719</v>
      </c>
      <c r="I28" s="40">
        <f>'FORECAST SCHEDULES'!J67</f>
        <v>1962.3402335636754</v>
      </c>
      <c r="J28" s="40">
        <f>'FORECAST SCHEDULES'!K67</f>
        <v>1867.6877775677501</v>
      </c>
      <c r="K28" s="40">
        <f>'FORECAST SCHEDULES'!L67</f>
        <v>2289.8861246712468</v>
      </c>
      <c r="L28" s="41">
        <f>'FORECAST SCHEDULES'!M67</f>
        <v>2609.5963031161127</v>
      </c>
    </row>
    <row r="29" spans="1:33" ht="14.25" customHeight="1" x14ac:dyDescent="0.3">
      <c r="B29" s="105" t="s">
        <v>200</v>
      </c>
      <c r="C29" s="36">
        <v>739.91</v>
      </c>
      <c r="D29" s="37">
        <v>720.47</v>
      </c>
      <c r="E29" s="37">
        <v>1868.42</v>
      </c>
      <c r="F29" s="37">
        <v>5218.4799999999996</v>
      </c>
      <c r="G29" s="38">
        <v>5285.39</v>
      </c>
      <c r="H29" s="39">
        <f>'FORECAST SCHEDULES'!I169</f>
        <v>1275.6737781665131</v>
      </c>
      <c r="I29" s="40">
        <f>'FORECAST SCHEDULES'!J169</f>
        <v>3392.0465682890399</v>
      </c>
      <c r="J29" s="40">
        <f>'FORECAST SCHEDULES'!K169</f>
        <v>7220.1187600069961</v>
      </c>
      <c r="K29" s="40">
        <f>'FORECAST SCHEDULES'!L169</f>
        <v>8678.0392349133017</v>
      </c>
      <c r="L29" s="41">
        <f>'FORECAST SCHEDULES'!M169</f>
        <v>11203.67932051597</v>
      </c>
    </row>
    <row r="30" spans="1:33" ht="14.25" customHeight="1" x14ac:dyDescent="0.3">
      <c r="B30" s="105" t="s">
        <v>201</v>
      </c>
      <c r="C30" s="36">
        <v>7288</v>
      </c>
      <c r="D30" s="37">
        <v>10760</v>
      </c>
      <c r="E30" s="37">
        <v>11418</v>
      </c>
      <c r="F30" s="37">
        <v>8991.15</v>
      </c>
      <c r="G30" s="38">
        <v>10864.22</v>
      </c>
      <c r="H30" s="39">
        <f>'FORECAST SCHEDULES'!I170</f>
        <v>5430.9629676709001</v>
      </c>
      <c r="I30" s="40">
        <f>'FORECAST SCHEDULES'!J170</f>
        <v>11185.14398403453</v>
      </c>
      <c r="J30" s="40">
        <f>'FORECAST SCHEDULES'!K170</f>
        <v>20192.651502532321</v>
      </c>
      <c r="K30" s="40">
        <f>'FORECAST SCHEDULES'!L170</f>
        <v>29256.456915472525</v>
      </c>
      <c r="L30" s="41">
        <f>'FORECAST SCHEDULES'!M170</f>
        <v>35166.3175446514</v>
      </c>
    </row>
    <row r="31" spans="1:33" ht="14.25" customHeight="1" x14ac:dyDescent="0.3">
      <c r="B31" s="105" t="s">
        <v>202</v>
      </c>
      <c r="C31" s="36">
        <v>2.12</v>
      </c>
      <c r="D31" s="37">
        <v>0</v>
      </c>
      <c r="E31" s="37">
        <v>0</v>
      </c>
      <c r="F31" s="37">
        <v>0</v>
      </c>
      <c r="G31" s="38">
        <v>0</v>
      </c>
      <c r="H31" s="39">
        <f>'ASSUMPTIONS AND REASONING'!J38</f>
        <v>0</v>
      </c>
      <c r="I31" s="40">
        <f>'ASSUMPTIONS AND REASONING'!K38</f>
        <v>0</v>
      </c>
      <c r="J31" s="40">
        <f>'ASSUMPTIONS AND REASONING'!L38</f>
        <v>0</v>
      </c>
      <c r="K31" s="40">
        <f>'ASSUMPTIONS AND REASONING'!M38</f>
        <v>0</v>
      </c>
      <c r="L31" s="41">
        <f>'ASSUMPTIONS AND REASONING'!N38</f>
        <v>0</v>
      </c>
      <c r="M31" s="59"/>
    </row>
    <row r="32" spans="1:33" ht="14.25" customHeight="1" x14ac:dyDescent="0.3">
      <c r="B32" s="105" t="s">
        <v>203</v>
      </c>
      <c r="C32" s="36">
        <v>139.59</v>
      </c>
      <c r="D32" s="37">
        <v>140.66</v>
      </c>
      <c r="E32" s="37">
        <v>221.4</v>
      </c>
      <c r="F32" s="37">
        <v>307.56</v>
      </c>
      <c r="G32" s="38">
        <v>286.81</v>
      </c>
      <c r="H32" s="36">
        <f>'ASSUMPTIONS AND REASONING'!J39*'FORECAST SCHEDULES'!I223</f>
        <v>226.82933748940377</v>
      </c>
      <c r="I32" s="37">
        <f>'ASSUMPTIONS AND REASONING'!K39*'FORECAST SCHEDULES'!J223</f>
        <v>230.19927578693006</v>
      </c>
      <c r="J32" s="37">
        <f>'ASSUMPTIONS AND REASONING'!L39*'FORECAST SCHEDULES'!K223</f>
        <v>462.39876409019882</v>
      </c>
      <c r="K32" s="37">
        <f>'ASSUMPTIONS AND REASONING'!M39*'FORECAST SCHEDULES'!L223</f>
        <v>678.64057645919786</v>
      </c>
      <c r="L32" s="38">
        <f>'ASSUMPTIONS AND REASONING'!N39*'FORECAST SCHEDULES'!M223</f>
        <v>889.86436782122587</v>
      </c>
    </row>
    <row r="33" spans="1:33" ht="14.25" customHeight="1" x14ac:dyDescent="0.3">
      <c r="B33" s="105" t="s">
        <v>204</v>
      </c>
      <c r="C33" s="36">
        <v>213.7</v>
      </c>
      <c r="D33" s="37">
        <v>407</v>
      </c>
      <c r="E33" s="37">
        <v>283.23</v>
      </c>
      <c r="F33" s="37">
        <v>57.3</v>
      </c>
      <c r="G33" s="38">
        <v>604.84</v>
      </c>
      <c r="H33" s="39">
        <f>'ASSUMPTIONS AND REASONING'!J42</f>
        <v>677.4208000000001</v>
      </c>
      <c r="I33" s="40">
        <f>'ASSUMPTIONS AND REASONING'!K42</f>
        <v>738.38867200000016</v>
      </c>
      <c r="J33" s="40">
        <f>'ASSUMPTIONS AND REASONING'!L42</f>
        <v>812.22753920000025</v>
      </c>
      <c r="K33" s="40">
        <f>'ASSUMPTIONS AND REASONING'!M42</f>
        <v>925.93939468800033</v>
      </c>
      <c r="L33" s="41">
        <f>'ASSUMPTIONS AND REASONING'!N42</f>
        <v>1074.0896978380804</v>
      </c>
    </row>
    <row r="34" spans="1:33" ht="14.25" customHeight="1" x14ac:dyDescent="0.3">
      <c r="B34" s="105" t="s">
        <v>205</v>
      </c>
      <c r="C34" s="36">
        <v>0.35</v>
      </c>
      <c r="D34" s="37">
        <v>0.44</v>
      </c>
      <c r="E34" s="37">
        <v>0.32</v>
      </c>
      <c r="F34" s="37">
        <v>7.0000000000000007E-2</v>
      </c>
      <c r="G34" s="38">
        <v>0.06</v>
      </c>
      <c r="H34" s="39">
        <f>'ASSUMPTIONS AND REASONING'!J40</f>
        <v>0</v>
      </c>
      <c r="I34" s="40">
        <f>'ASSUMPTIONS AND REASONING'!K40</f>
        <v>0</v>
      </c>
      <c r="J34" s="40">
        <f>'ASSUMPTIONS AND REASONING'!L40</f>
        <v>0</v>
      </c>
      <c r="K34" s="40">
        <f>'ASSUMPTIONS AND REASONING'!M40</f>
        <v>0</v>
      </c>
      <c r="L34" s="41">
        <f>'ASSUMPTIONS AND REASONING'!N40</f>
        <v>0</v>
      </c>
    </row>
    <row r="35" spans="1:33" ht="14.25" customHeight="1" x14ac:dyDescent="0.3">
      <c r="B35" s="105" t="s">
        <v>206</v>
      </c>
      <c r="C35" s="36">
        <v>6846.02</v>
      </c>
      <c r="D35" s="37">
        <v>5795.36</v>
      </c>
      <c r="E35" s="37">
        <v>3934.63</v>
      </c>
      <c r="F35" s="37">
        <v>3653.33</v>
      </c>
      <c r="G35" s="38">
        <v>2068.1999999999998</v>
      </c>
      <c r="H35" s="39">
        <f>'ASSUMPTIONS AND REASONING'!J41*SUM('INCOME STATEMENT'!H12:H13)</f>
        <v>4465.3405071139932</v>
      </c>
      <c r="I35" s="40">
        <f>'ASSUMPTIONS AND REASONING'!K41*SUM('INCOME STATEMENT'!I12:I13)</f>
        <v>4162.2122321220259</v>
      </c>
      <c r="J35" s="40">
        <f>'ASSUMPTIONS AND REASONING'!L41*SUM('INCOME STATEMENT'!J12:J13)</f>
        <v>4132.6294883925093</v>
      </c>
      <c r="K35" s="40">
        <f>'ASSUMPTIONS AND REASONING'!M41*SUM('INCOME STATEMENT'!K12:K13)</f>
        <v>5267.3115323460397</v>
      </c>
      <c r="L35" s="41">
        <f>'ASSUMPTIONS AND REASONING'!N41*SUM('INCOME STATEMENT'!L12:L13)</f>
        <v>5813.6787926761872</v>
      </c>
    </row>
    <row r="36" spans="1:33" ht="14.25" customHeight="1" x14ac:dyDescent="0.3">
      <c r="A36" s="44"/>
      <c r="B36" s="113" t="s">
        <v>207</v>
      </c>
      <c r="C36" s="46">
        <f t="shared" ref="C36:L36" si="2">SUM(C26:C35)</f>
        <v>22084.240000000002</v>
      </c>
      <c r="D36" s="47">
        <f t="shared" si="2"/>
        <v>26529.439999999999</v>
      </c>
      <c r="E36" s="47">
        <f t="shared" si="2"/>
        <v>26085.190000000002</v>
      </c>
      <c r="F36" s="47">
        <f t="shared" si="2"/>
        <v>25788.190000000002</v>
      </c>
      <c r="G36" s="48">
        <f t="shared" si="2"/>
        <v>24713.810000000005</v>
      </c>
      <c r="H36" s="46">
        <f t="shared" si="2"/>
        <v>18864.210925216976</v>
      </c>
      <c r="I36" s="47">
        <f t="shared" si="2"/>
        <v>26343.04458058425</v>
      </c>
      <c r="J36" s="47">
        <f t="shared" si="2"/>
        <v>39014.714497586559</v>
      </c>
      <c r="K36" s="47">
        <f t="shared" si="2"/>
        <v>51752.541331853892</v>
      </c>
      <c r="L36" s="48">
        <f t="shared" si="2"/>
        <v>62096.445985524173</v>
      </c>
      <c r="M36" s="44"/>
      <c r="N36" s="44"/>
    </row>
    <row r="37" spans="1:33" ht="14.25" customHeight="1" x14ac:dyDescent="0.3">
      <c r="A37" s="44"/>
      <c r="B37" s="113"/>
      <c r="C37" s="61"/>
      <c r="D37" s="62"/>
      <c r="E37" s="62"/>
      <c r="F37" s="62"/>
      <c r="G37" s="63"/>
      <c r="H37" s="61"/>
      <c r="I37" s="62"/>
      <c r="J37" s="62"/>
      <c r="K37" s="62"/>
      <c r="L37" s="63"/>
      <c r="M37" s="44"/>
      <c r="N37" s="44"/>
    </row>
    <row r="38" spans="1:33" ht="14.25" customHeight="1" x14ac:dyDescent="0.3">
      <c r="A38" s="44"/>
      <c r="B38" s="113" t="s">
        <v>208</v>
      </c>
      <c r="C38" s="46">
        <f t="shared" ref="C38:L38" si="3">C20+C36</f>
        <v>24625.86</v>
      </c>
      <c r="D38" s="47">
        <f t="shared" si="3"/>
        <v>29233.84</v>
      </c>
      <c r="E38" s="47">
        <f t="shared" si="3"/>
        <v>28880.570000000003</v>
      </c>
      <c r="F38" s="47">
        <f t="shared" si="3"/>
        <v>28776.020000000004</v>
      </c>
      <c r="G38" s="48">
        <f t="shared" si="3"/>
        <v>27948.680000000008</v>
      </c>
      <c r="H38" s="46">
        <f t="shared" si="3"/>
        <v>22635.542762985107</v>
      </c>
      <c r="I38" s="47">
        <f t="shared" si="3"/>
        <v>30081.34331690941</v>
      </c>
      <c r="J38" s="47">
        <f t="shared" si="3"/>
        <v>42698.997910370548</v>
      </c>
      <c r="K38" s="47">
        <f t="shared" si="3"/>
        <v>55299.454018281052</v>
      </c>
      <c r="L38" s="48">
        <f t="shared" si="3"/>
        <v>65443.28846259298</v>
      </c>
      <c r="M38" s="44"/>
      <c r="N38" s="44"/>
    </row>
    <row r="39" spans="1:33" ht="14.25" customHeight="1" x14ac:dyDescent="0.3">
      <c r="B39" s="106"/>
      <c r="C39" s="103"/>
      <c r="G39" s="104"/>
      <c r="H39" s="103"/>
      <c r="L39" s="104"/>
    </row>
    <row r="40" spans="1:33" ht="14.25" customHeight="1" x14ac:dyDescent="0.3">
      <c r="A40" s="95"/>
      <c r="B40" s="96" t="s">
        <v>209</v>
      </c>
      <c r="C40" s="100"/>
      <c r="D40" s="95"/>
      <c r="E40" s="95"/>
      <c r="F40" s="95"/>
      <c r="G40" s="101"/>
      <c r="H40" s="100"/>
      <c r="I40" s="95"/>
      <c r="J40" s="95"/>
      <c r="K40" s="95"/>
      <c r="L40" s="101"/>
    </row>
    <row r="41" spans="1:33" ht="14.25" customHeight="1" x14ac:dyDescent="0.3">
      <c r="B41" s="115"/>
      <c r="C41" s="103"/>
      <c r="G41" s="104"/>
      <c r="H41" s="103"/>
      <c r="L41" s="104"/>
    </row>
    <row r="42" spans="1:33" ht="14.25" customHeight="1" x14ac:dyDescent="0.3">
      <c r="B42" s="102" t="s">
        <v>210</v>
      </c>
      <c r="C42" s="103"/>
      <c r="G42" s="104"/>
      <c r="H42" s="103"/>
      <c r="L42" s="104"/>
    </row>
    <row r="43" spans="1:33" ht="14.25" customHeight="1" x14ac:dyDescent="0.3">
      <c r="B43" s="105" t="s">
        <v>211</v>
      </c>
      <c r="C43" s="36">
        <v>201.69</v>
      </c>
      <c r="D43" s="37">
        <v>201.69</v>
      </c>
      <c r="E43" s="37">
        <v>201.69</v>
      </c>
      <c r="F43" s="37">
        <v>201.69</v>
      </c>
      <c r="G43" s="38">
        <v>201.69</v>
      </c>
      <c r="H43" s="36">
        <v>201.69</v>
      </c>
      <c r="I43" s="37">
        <v>201.69</v>
      </c>
      <c r="J43" s="37">
        <v>201.69</v>
      </c>
      <c r="K43" s="37">
        <v>201.69</v>
      </c>
      <c r="L43" s="38">
        <v>201.69</v>
      </c>
      <c r="M43" s="83"/>
      <c r="N43" s="83"/>
    </row>
    <row r="44" spans="1:33" ht="14.25" customHeight="1" x14ac:dyDescent="0.3">
      <c r="B44" s="105" t="s">
        <v>212</v>
      </c>
      <c r="C44" s="36">
        <v>2717.37</v>
      </c>
      <c r="D44" s="37">
        <v>3119.67</v>
      </c>
      <c r="E44" s="37">
        <v>3975.87</v>
      </c>
      <c r="F44" s="37">
        <v>5368.99</v>
      </c>
      <c r="G44" s="38">
        <v>6979.15</v>
      </c>
      <c r="H44" s="39">
        <f>SUM('FORECAST SCHEDULES'!I183,'FORECAST SCHEDULES'!I188)</f>
        <v>8575.2767042590858</v>
      </c>
      <c r="I44" s="40">
        <f>SUM('FORECAST SCHEDULES'!J183,'FORECAST SCHEDULES'!J188)</f>
        <v>10339.867703071201</v>
      </c>
      <c r="J44" s="40">
        <f>SUM('FORECAST SCHEDULES'!K183,'FORECAST SCHEDULES'!K188)</f>
        <v>12649.423734550555</v>
      </c>
      <c r="K44" s="40">
        <f>SUM('FORECAST SCHEDULES'!L183,'FORECAST SCHEDULES'!L188)</f>
        <v>15499.610183938585</v>
      </c>
      <c r="L44" s="41">
        <f>SUM('FORECAST SCHEDULES'!M183,'FORECAST SCHEDULES'!M188)</f>
        <v>18994.864663419441</v>
      </c>
    </row>
    <row r="45" spans="1:33" ht="14.25" customHeight="1" x14ac:dyDescent="0.3">
      <c r="A45" s="44"/>
      <c r="B45" s="94" t="s">
        <v>213</v>
      </c>
      <c r="C45" s="46">
        <f t="shared" ref="C45:L45" si="4">C43+C44</f>
        <v>2919.06</v>
      </c>
      <c r="D45" s="47">
        <f t="shared" si="4"/>
        <v>3321.36</v>
      </c>
      <c r="E45" s="47">
        <f t="shared" si="4"/>
        <v>4177.5599999999995</v>
      </c>
      <c r="F45" s="47">
        <f t="shared" si="4"/>
        <v>5570.6799999999994</v>
      </c>
      <c r="G45" s="48">
        <f t="shared" si="4"/>
        <v>7180.8399999999992</v>
      </c>
      <c r="H45" s="46">
        <f t="shared" si="4"/>
        <v>8776.9667042590863</v>
      </c>
      <c r="I45" s="47">
        <f t="shared" si="4"/>
        <v>10541.557703071201</v>
      </c>
      <c r="J45" s="47">
        <f t="shared" si="4"/>
        <v>12851.113734550556</v>
      </c>
      <c r="K45" s="47">
        <f t="shared" si="4"/>
        <v>15701.300183938585</v>
      </c>
      <c r="L45" s="48">
        <f t="shared" si="4"/>
        <v>19196.55466341944</v>
      </c>
      <c r="M45" s="44"/>
      <c r="N45" s="44"/>
      <c r="O45" s="43"/>
      <c r="P45" s="43"/>
      <c r="Q45" s="43"/>
      <c r="R45" s="43"/>
      <c r="S45" s="43"/>
      <c r="T45" s="43"/>
      <c r="U45" s="43"/>
      <c r="V45" s="43"/>
      <c r="W45" s="43"/>
      <c r="X45" s="43"/>
      <c r="Y45" s="43"/>
      <c r="Z45" s="43"/>
      <c r="AA45" s="43"/>
      <c r="AB45" s="43"/>
      <c r="AC45" s="43"/>
      <c r="AD45" s="43"/>
      <c r="AE45" s="43"/>
      <c r="AF45" s="43"/>
      <c r="AG45" s="43"/>
    </row>
    <row r="46" spans="1:33" ht="14.25" customHeight="1" x14ac:dyDescent="0.3">
      <c r="B46" s="106"/>
      <c r="C46" s="103"/>
      <c r="G46" s="104"/>
      <c r="H46" s="103"/>
      <c r="L46" s="104"/>
    </row>
    <row r="47" spans="1:33" ht="14.25" customHeight="1" x14ac:dyDescent="0.3">
      <c r="B47" s="102" t="s">
        <v>214</v>
      </c>
      <c r="C47" s="103"/>
      <c r="G47" s="104"/>
      <c r="H47" s="103"/>
      <c r="L47" s="104"/>
    </row>
    <row r="48" spans="1:33" ht="14.25" customHeight="1" x14ac:dyDescent="0.3">
      <c r="B48" s="105" t="s">
        <v>215</v>
      </c>
      <c r="C48" s="36">
        <v>0</v>
      </c>
      <c r="D48" s="37">
        <v>4.74</v>
      </c>
      <c r="E48" s="37">
        <v>0.31</v>
      </c>
      <c r="F48" s="37">
        <v>16.43</v>
      </c>
      <c r="G48" s="38">
        <v>20.03</v>
      </c>
      <c r="H48" s="39">
        <f>'FORECAST SCHEDULES'!I49</f>
        <v>25.93505</v>
      </c>
      <c r="I48" s="40">
        <f>'FORECAST SCHEDULES'!J49</f>
        <v>31.845049999999997</v>
      </c>
      <c r="J48" s="40">
        <f>'FORECAST SCHEDULES'!K49</f>
        <v>37.755049999999997</v>
      </c>
      <c r="K48" s="40">
        <f>'FORECAST SCHEDULES'!L49</f>
        <v>43.665050000000001</v>
      </c>
      <c r="L48" s="41">
        <f>'FORECAST SCHEDULES'!M49</f>
        <v>49.575049999999997</v>
      </c>
    </row>
    <row r="49" spans="1:33" ht="14.25" customHeight="1" x14ac:dyDescent="0.3">
      <c r="B49" s="105" t="s">
        <v>216</v>
      </c>
      <c r="C49" s="36">
        <v>0</v>
      </c>
      <c r="D49" s="37">
        <v>0</v>
      </c>
      <c r="E49" s="37">
        <v>0</v>
      </c>
      <c r="F49" s="37">
        <v>0</v>
      </c>
      <c r="G49" s="38">
        <v>0</v>
      </c>
      <c r="H49" s="39">
        <f>'FORECAST SCHEDULES'!I88</f>
        <v>0</v>
      </c>
      <c r="I49" s="40">
        <f>'FORECAST SCHEDULES'!J88</f>
        <v>0</v>
      </c>
      <c r="J49" s="40">
        <f>'FORECAST SCHEDULES'!K88</f>
        <v>0</v>
      </c>
      <c r="K49" s="40">
        <f>'FORECAST SCHEDULES'!L88</f>
        <v>0</v>
      </c>
      <c r="L49" s="41">
        <f>'FORECAST SCHEDULES'!M88</f>
        <v>0</v>
      </c>
    </row>
    <row r="50" spans="1:33" ht="14.25" customHeight="1" x14ac:dyDescent="0.3">
      <c r="B50" s="105" t="s">
        <v>217</v>
      </c>
      <c r="C50" s="36">
        <v>15.44</v>
      </c>
      <c r="D50" s="37">
        <v>17.73</v>
      </c>
      <c r="E50" s="37">
        <v>18.02</v>
      </c>
      <c r="F50" s="37">
        <v>17.649999999999999</v>
      </c>
      <c r="G50" s="38">
        <v>17.73</v>
      </c>
      <c r="H50" s="39">
        <f>'FORECAST SCHEDULES'!I83</f>
        <v>17.73</v>
      </c>
      <c r="I50" s="40">
        <f>'FORECAST SCHEDULES'!J83</f>
        <v>17.73</v>
      </c>
      <c r="J50" s="40">
        <f>'FORECAST SCHEDULES'!K83</f>
        <v>17.73</v>
      </c>
      <c r="K50" s="40">
        <f>'FORECAST SCHEDULES'!L83</f>
        <v>17.73</v>
      </c>
      <c r="L50" s="41">
        <f>'FORECAST SCHEDULES'!M83</f>
        <v>17.73</v>
      </c>
    </row>
    <row r="51" spans="1:33" ht="14.25" customHeight="1" x14ac:dyDescent="0.3">
      <c r="B51" s="105" t="s">
        <v>218</v>
      </c>
      <c r="C51" s="36">
        <v>30.41</v>
      </c>
      <c r="D51" s="37">
        <v>0.97</v>
      </c>
      <c r="E51" s="37">
        <v>0.48</v>
      </c>
      <c r="F51" s="37">
        <v>0.69</v>
      </c>
      <c r="G51" s="38">
        <v>0.49</v>
      </c>
      <c r="H51" s="39">
        <f>'ASSUMPTIONS AND REASONING'!J43</f>
        <v>0</v>
      </c>
      <c r="I51" s="40">
        <f>'ASSUMPTIONS AND REASONING'!K43</f>
        <v>0</v>
      </c>
      <c r="J51" s="40">
        <f>'ASSUMPTIONS AND REASONING'!L43</f>
        <v>0</v>
      </c>
      <c r="K51" s="40">
        <f>'ASSUMPTIONS AND REASONING'!M43</f>
        <v>0</v>
      </c>
      <c r="L51" s="41">
        <f>'ASSUMPTIONS AND REASONING'!N43</f>
        <v>0</v>
      </c>
    </row>
    <row r="52" spans="1:33" ht="14.25" customHeight="1" x14ac:dyDescent="0.3">
      <c r="B52" s="106"/>
      <c r="C52" s="107"/>
      <c r="D52" s="83"/>
      <c r="E52" s="83"/>
      <c r="F52" s="83"/>
      <c r="G52" s="108"/>
      <c r="H52" s="103"/>
      <c r="L52" s="104"/>
    </row>
    <row r="53" spans="1:33" ht="14.25" customHeight="1" x14ac:dyDescent="0.3">
      <c r="B53" s="105" t="s">
        <v>219</v>
      </c>
      <c r="C53" s="36">
        <v>198.17</v>
      </c>
      <c r="D53" s="37">
        <v>203.86</v>
      </c>
      <c r="E53" s="37">
        <v>197.02</v>
      </c>
      <c r="F53" s="37">
        <v>212.65</v>
      </c>
      <c r="G53" s="38">
        <v>228.97</v>
      </c>
      <c r="H53" s="39">
        <f>'FORECAST SCHEDULES'!I116</f>
        <v>232.38459768639879</v>
      </c>
      <c r="I53" s="40">
        <f>'FORECAST SCHEDULES'!J116</f>
        <v>235.22201525611578</v>
      </c>
      <c r="J53" s="40">
        <f>'FORECAST SCHEDULES'!K116</f>
        <v>238.74439765511289</v>
      </c>
      <c r="K53" s="40">
        <f>'FORECAST SCHEDULES'!L116</f>
        <v>243.0032244407187</v>
      </c>
      <c r="L53" s="41">
        <f>'FORECAST SCHEDULES'!M116</f>
        <v>247.37097430715849</v>
      </c>
    </row>
    <row r="54" spans="1:33" ht="14.25" customHeight="1" x14ac:dyDescent="0.3">
      <c r="B54" s="105" t="s">
        <v>220</v>
      </c>
      <c r="C54" s="36">
        <v>531.99</v>
      </c>
      <c r="D54" s="37">
        <v>360.87</v>
      </c>
      <c r="E54" s="37">
        <v>213.83</v>
      </c>
      <c r="F54" s="37">
        <v>212.56</v>
      </c>
      <c r="G54" s="38">
        <v>557.84</v>
      </c>
      <c r="H54" s="39">
        <f>'FORECAST SCHEDULES'!I123</f>
        <v>818.88999999999987</v>
      </c>
      <c r="I54" s="40">
        <f>'FORECAST SCHEDULES'!J123</f>
        <v>621.00999999999988</v>
      </c>
      <c r="J54" s="40">
        <f>'FORECAST SCHEDULES'!K123</f>
        <v>423.12999999999988</v>
      </c>
      <c r="K54" s="40">
        <f>'FORECAST SCHEDULES'!L123</f>
        <v>225.24999999999989</v>
      </c>
      <c r="L54" s="41">
        <f>'FORECAST SCHEDULES'!M123</f>
        <v>27.369999999999891</v>
      </c>
    </row>
    <row r="55" spans="1:33" ht="14.25" customHeight="1" x14ac:dyDescent="0.3">
      <c r="A55" s="43"/>
      <c r="B55" s="94" t="s">
        <v>221</v>
      </c>
      <c r="C55" s="46">
        <f t="shared" ref="C55:L55" si="5">SUM(C53:C54)</f>
        <v>730.16</v>
      </c>
      <c r="D55" s="47">
        <f t="shared" si="5"/>
        <v>564.73</v>
      </c>
      <c r="E55" s="47">
        <f t="shared" si="5"/>
        <v>410.85</v>
      </c>
      <c r="F55" s="47">
        <f t="shared" si="5"/>
        <v>425.21000000000004</v>
      </c>
      <c r="G55" s="48">
        <f t="shared" si="5"/>
        <v>786.81000000000006</v>
      </c>
      <c r="H55" s="46">
        <f t="shared" si="5"/>
        <v>1051.2745976863987</v>
      </c>
      <c r="I55" s="47">
        <f t="shared" si="5"/>
        <v>856.23201525611569</v>
      </c>
      <c r="J55" s="47">
        <f t="shared" si="5"/>
        <v>661.87439765511272</v>
      </c>
      <c r="K55" s="47">
        <f t="shared" si="5"/>
        <v>468.25322444071855</v>
      </c>
      <c r="L55" s="48">
        <f t="shared" si="5"/>
        <v>274.74097430715835</v>
      </c>
      <c r="M55" s="117"/>
      <c r="N55" s="43"/>
      <c r="O55" s="43"/>
      <c r="P55" s="43"/>
      <c r="Q55" s="43"/>
      <c r="R55" s="43"/>
      <c r="S55" s="43"/>
      <c r="T55" s="43"/>
      <c r="U55" s="43"/>
      <c r="V55" s="43"/>
      <c r="W55" s="43"/>
      <c r="X55" s="43"/>
      <c r="Y55" s="43"/>
      <c r="Z55" s="43"/>
      <c r="AA55" s="43"/>
      <c r="AB55" s="43"/>
      <c r="AC55" s="43"/>
      <c r="AD55" s="43"/>
      <c r="AE55" s="43"/>
      <c r="AF55" s="43"/>
      <c r="AG55" s="43"/>
    </row>
    <row r="56" spans="1:33" ht="14.25" customHeight="1" x14ac:dyDescent="0.3">
      <c r="B56" s="106"/>
      <c r="C56" s="107"/>
      <c r="D56" s="83"/>
      <c r="E56" s="83"/>
      <c r="F56" s="83"/>
      <c r="G56" s="108"/>
      <c r="H56" s="103"/>
      <c r="L56" s="104"/>
    </row>
    <row r="57" spans="1:33" ht="14.25" customHeight="1" x14ac:dyDescent="0.3">
      <c r="B57" s="105" t="s">
        <v>222</v>
      </c>
      <c r="C57" s="36">
        <v>148.02000000000001</v>
      </c>
      <c r="D57" s="37">
        <v>140.37</v>
      </c>
      <c r="E57" s="37">
        <v>133.5</v>
      </c>
      <c r="F57" s="37">
        <v>126.63</v>
      </c>
      <c r="G57" s="38">
        <v>119.75</v>
      </c>
      <c r="H57" s="39">
        <f>'ASSUMPTIONS AND REASONING'!J44</f>
        <v>112.88</v>
      </c>
      <c r="I57" s="40">
        <f>'ASSUMPTIONS AND REASONING'!K44</f>
        <v>106.00999999999999</v>
      </c>
      <c r="J57" s="40">
        <f>'ASSUMPTIONS AND REASONING'!L44</f>
        <v>99.139999999999986</v>
      </c>
      <c r="K57" s="40">
        <f>'ASSUMPTIONS AND REASONING'!M44</f>
        <v>92.269999999999982</v>
      </c>
      <c r="L57" s="41">
        <f>'ASSUMPTIONS AND REASONING'!N44</f>
        <v>85.399999999999977</v>
      </c>
    </row>
    <row r="58" spans="1:33" ht="14.25" customHeight="1" x14ac:dyDescent="0.3">
      <c r="A58" s="44"/>
      <c r="B58" s="113" t="s">
        <v>223</v>
      </c>
      <c r="C58" s="46">
        <f t="shared" ref="C58:L58" si="6">SUM(C55:C57,C48:C51)</f>
        <v>924.03</v>
      </c>
      <c r="D58" s="47">
        <f t="shared" si="6"/>
        <v>728.54000000000008</v>
      </c>
      <c r="E58" s="47">
        <f t="shared" si="6"/>
        <v>563.16</v>
      </c>
      <c r="F58" s="47">
        <f t="shared" si="6"/>
        <v>586.61</v>
      </c>
      <c r="G58" s="48">
        <f t="shared" si="6"/>
        <v>944.81000000000006</v>
      </c>
      <c r="H58" s="46">
        <f t="shared" si="6"/>
        <v>1207.8196476863986</v>
      </c>
      <c r="I58" s="47">
        <f t="shared" si="6"/>
        <v>1011.8170652561157</v>
      </c>
      <c r="J58" s="47">
        <f t="shared" si="6"/>
        <v>816.4994476551127</v>
      </c>
      <c r="K58" s="47">
        <f t="shared" si="6"/>
        <v>621.91827444071851</v>
      </c>
      <c r="L58" s="48">
        <f t="shared" si="6"/>
        <v>427.44602430715832</v>
      </c>
      <c r="M58" s="44"/>
      <c r="N58" s="44"/>
    </row>
    <row r="59" spans="1:33" ht="14.25" customHeight="1" x14ac:dyDescent="0.3">
      <c r="B59" s="106"/>
      <c r="C59" s="103"/>
      <c r="G59" s="104"/>
      <c r="H59" s="103"/>
      <c r="L59" s="104"/>
    </row>
    <row r="60" spans="1:33" ht="14.25" customHeight="1" x14ac:dyDescent="0.3">
      <c r="B60" s="102" t="s">
        <v>224</v>
      </c>
      <c r="C60" s="103"/>
      <c r="G60" s="104"/>
      <c r="H60" s="103"/>
      <c r="L60" s="104"/>
    </row>
    <row r="61" spans="1:33" ht="14.25" customHeight="1" x14ac:dyDescent="0.3">
      <c r="B61" s="105" t="s">
        <v>225</v>
      </c>
      <c r="C61" s="36">
        <v>0</v>
      </c>
      <c r="D61" s="37">
        <v>6.9</v>
      </c>
      <c r="E61" s="37">
        <v>5.73</v>
      </c>
      <c r="F61" s="37">
        <v>0.12</v>
      </c>
      <c r="G61" s="38">
        <v>0.3</v>
      </c>
      <c r="H61" s="39">
        <f>'FORECAST SCHEDULES'!I50</f>
        <v>0.39495000000000002</v>
      </c>
      <c r="I61" s="40">
        <f>'FORECAST SCHEDULES'!J50</f>
        <v>0.48494999999999994</v>
      </c>
      <c r="J61" s="40">
        <f>'FORECAST SCHEDULES'!K50</f>
        <v>0.57494999999999996</v>
      </c>
      <c r="K61" s="40">
        <f>'FORECAST SCHEDULES'!L50</f>
        <v>0.66494999999999993</v>
      </c>
      <c r="L61" s="41">
        <f>'FORECAST SCHEDULES'!M50</f>
        <v>0.7549499999999999</v>
      </c>
    </row>
    <row r="62" spans="1:33" ht="14.25" customHeight="1" x14ac:dyDescent="0.3">
      <c r="B62" s="105" t="s">
        <v>226</v>
      </c>
      <c r="C62" s="36">
        <v>39.36</v>
      </c>
      <c r="D62" s="37">
        <v>0.15</v>
      </c>
      <c r="E62" s="37">
        <v>46.59</v>
      </c>
      <c r="F62" s="37">
        <v>168.63</v>
      </c>
      <c r="G62" s="38">
        <v>226.87</v>
      </c>
      <c r="H62" s="39">
        <f>'FORECAST SCHEDULES'!I87</f>
        <v>361.67837696496969</v>
      </c>
      <c r="I62" s="40">
        <f>'FORECAST SCHEDULES'!J87</f>
        <v>431.93134469373734</v>
      </c>
      <c r="J62" s="40">
        <f>'FORECAST SCHEDULES'!K87</f>
        <v>521.21415275264133</v>
      </c>
      <c r="K62" s="40">
        <f>'FORECAST SCHEDULES'!L87</f>
        <v>677.12117895508004</v>
      </c>
      <c r="L62" s="41">
        <f>'FORECAST SCHEDULES'!M87</f>
        <v>855.26881150984389</v>
      </c>
    </row>
    <row r="63" spans="1:33" ht="14.25" customHeight="1" x14ac:dyDescent="0.3">
      <c r="B63" s="105" t="s">
        <v>227</v>
      </c>
      <c r="C63" s="36">
        <v>6322.46</v>
      </c>
      <c r="D63" s="37">
        <v>6165.5</v>
      </c>
      <c r="E63" s="37">
        <v>4416.2</v>
      </c>
      <c r="F63" s="37">
        <v>4261.18</v>
      </c>
      <c r="G63" s="38">
        <v>3511.43</v>
      </c>
      <c r="H63" s="39">
        <f>'FORECAST SCHEDULES'!I82</f>
        <v>3448.2446631588705</v>
      </c>
      <c r="I63" s="40">
        <f>'FORECAST SCHEDULES'!J82</f>
        <v>3007.149607844106</v>
      </c>
      <c r="J63" s="40">
        <f>'FORECAST SCHEDULES'!K82</f>
        <v>3215.8224535787626</v>
      </c>
      <c r="K63" s="40">
        <f>'FORECAST SCHEDULES'!L82</f>
        <v>3725.0140426428657</v>
      </c>
      <c r="L63" s="41">
        <f>'FORECAST SCHEDULES'!M82</f>
        <v>4271.3759671241578</v>
      </c>
    </row>
    <row r="64" spans="1:33" ht="14.25" customHeight="1" x14ac:dyDescent="0.3">
      <c r="B64" s="105" t="s">
        <v>228</v>
      </c>
      <c r="C64" s="36">
        <v>158.11000000000001</v>
      </c>
      <c r="D64" s="37">
        <v>169.73</v>
      </c>
      <c r="E64" s="37">
        <v>146.58000000000001</v>
      </c>
      <c r="F64" s="37">
        <v>217.73</v>
      </c>
      <c r="G64" s="38">
        <v>259.29000000000002</v>
      </c>
      <c r="H64" s="39">
        <f>'ASSUMPTIONS AND REASONING'!J45</f>
        <v>283.62862485639192</v>
      </c>
      <c r="I64" s="40">
        <f>'ASSUMPTIONS AND REASONING'!K45</f>
        <v>309.55125209802452</v>
      </c>
      <c r="J64" s="40">
        <f>'ASSUMPTIONS AND REASONING'!L45</f>
        <v>337.5015255513481</v>
      </c>
      <c r="K64" s="40">
        <f>'ASSUMPTIONS AND REASONING'!M45</f>
        <v>368.50167888322522</v>
      </c>
      <c r="L64" s="41">
        <f>'ASSUMPTIONS AND REASONING'!N45</f>
        <v>402.10180209201332</v>
      </c>
    </row>
    <row r="65" spans="1:33" ht="14.25" customHeight="1" x14ac:dyDescent="0.3">
      <c r="B65" s="105" t="s">
        <v>229</v>
      </c>
      <c r="C65" s="36">
        <v>14176.08</v>
      </c>
      <c r="D65" s="37">
        <v>18707.759999999998</v>
      </c>
      <c r="E65" s="37">
        <v>19333.34</v>
      </c>
      <c r="F65" s="37">
        <v>17723.39</v>
      </c>
      <c r="G65" s="38">
        <v>15494.39</v>
      </c>
      <c r="H65" s="39">
        <f>'FORECAST SCHEDULES'!I257</f>
        <v>8082.3732637920402</v>
      </c>
      <c r="I65" s="40">
        <f>'FORECAST SCHEDULES'!J257</f>
        <v>14258.638277120635</v>
      </c>
      <c r="J65" s="40">
        <f>'FORECAST SCHEDULES'!K257</f>
        <v>24190.654247200917</v>
      </c>
      <c r="K65" s="40">
        <f>'FORECAST SCHEDULES'!L257</f>
        <v>33175.293400258</v>
      </c>
      <c r="L65" s="41">
        <f>'FORECAST SCHEDULES'!M257</f>
        <v>39021.189600945494</v>
      </c>
    </row>
    <row r="66" spans="1:33" ht="14.25" customHeight="1" x14ac:dyDescent="0.3">
      <c r="B66" s="105" t="s">
        <v>230</v>
      </c>
      <c r="C66" s="36">
        <v>16.489999999999998</v>
      </c>
      <c r="D66" s="37">
        <v>19.23</v>
      </c>
      <c r="E66" s="37">
        <v>17.28</v>
      </c>
      <c r="F66" s="37">
        <v>56.26</v>
      </c>
      <c r="G66" s="38">
        <v>30.52</v>
      </c>
      <c r="H66" s="39">
        <f>'ASSUMPTIONS AND REASONING'!J46*'INCOME STATEMENT'!H27</f>
        <v>46.002705805506409</v>
      </c>
      <c r="I66" s="40">
        <f>'ASSUMPTIONS AND REASONING'!K46*'INCOME STATEMENT'!I27</f>
        <v>53.871071075495266</v>
      </c>
      <c r="J66" s="40">
        <f>'ASSUMPTIONS AND REASONING'!L46*'INCOME STATEMENT'!J27</f>
        <v>49.345580709087713</v>
      </c>
      <c r="K66" s="40">
        <f>'ASSUMPTIONS AND REASONING'!M46*'INCOME STATEMENT'!K27</f>
        <v>60.545534875909162</v>
      </c>
      <c r="L66" s="41">
        <f>'ASSUMPTIONS AND REASONING'!N46*'INCOME STATEMENT'!L27</f>
        <v>69.864699794582208</v>
      </c>
    </row>
    <row r="67" spans="1:33" ht="14.25" customHeight="1" x14ac:dyDescent="0.3">
      <c r="B67" s="106"/>
      <c r="C67" s="107"/>
      <c r="D67" s="83"/>
      <c r="E67" s="83"/>
      <c r="F67" s="83"/>
      <c r="G67" s="108"/>
      <c r="H67" s="103"/>
      <c r="L67" s="104"/>
    </row>
    <row r="68" spans="1:33" ht="14.25" customHeight="1" x14ac:dyDescent="0.3">
      <c r="B68" s="105" t="s">
        <v>231</v>
      </c>
      <c r="C68" s="36">
        <v>56.42</v>
      </c>
      <c r="D68" s="37">
        <v>50.82</v>
      </c>
      <c r="E68" s="37">
        <v>46.75</v>
      </c>
      <c r="F68" s="37">
        <v>43.27</v>
      </c>
      <c r="G68" s="38">
        <v>25.45</v>
      </c>
      <c r="H68" s="39">
        <f>'FORECAST SCHEDULES'!I134</f>
        <v>31.910394358874417</v>
      </c>
      <c r="I68" s="40">
        <f>'FORECAST SCHEDULES'!J134</f>
        <v>38.210910753686143</v>
      </c>
      <c r="J68" s="40">
        <f>'FORECAST SCHEDULES'!K134</f>
        <v>45.001506122121619</v>
      </c>
      <c r="K68" s="40">
        <f>'FORECAST SCHEDULES'!L134</f>
        <v>51.762933694634306</v>
      </c>
      <c r="L68" s="41">
        <f>'FORECAST SCHEDULES'!M134</f>
        <v>58.843329469165724</v>
      </c>
    </row>
    <row r="69" spans="1:33" ht="14.25" customHeight="1" x14ac:dyDescent="0.3">
      <c r="B69" s="105" t="s">
        <v>232</v>
      </c>
      <c r="C69" s="36">
        <v>13.85</v>
      </c>
      <c r="D69" s="37">
        <v>63.85</v>
      </c>
      <c r="E69" s="37">
        <v>127.38</v>
      </c>
      <c r="F69" s="37">
        <v>148.15</v>
      </c>
      <c r="G69" s="38">
        <v>274.77999999999997</v>
      </c>
      <c r="H69" s="39">
        <f>'FORECAST SCHEDULES'!I140</f>
        <v>404.99326873440685</v>
      </c>
      <c r="I69" s="40">
        <f>'FORECAST SCHEDULES'!J140</f>
        <v>550.27552573237858</v>
      </c>
      <c r="J69" s="40">
        <f>'FORECAST SCHEDULES'!K140</f>
        <v>712.06939524668826</v>
      </c>
      <c r="K69" s="40">
        <f>'FORECAST SCHEDULES'!L140</f>
        <v>887.56849878309606</v>
      </c>
      <c r="L69" s="41">
        <f>'FORECAST SCHEDULES'!M140</f>
        <v>1091.9914465917498</v>
      </c>
    </row>
    <row r="70" spans="1:33" ht="14.25" customHeight="1" x14ac:dyDescent="0.3">
      <c r="A70" s="43"/>
      <c r="B70" s="94" t="s">
        <v>233</v>
      </c>
      <c r="C70" s="46">
        <f t="shared" ref="C70:L70" si="7">SUM(C68:C69)</f>
        <v>70.27</v>
      </c>
      <c r="D70" s="47">
        <f t="shared" si="7"/>
        <v>114.67</v>
      </c>
      <c r="E70" s="47">
        <f t="shared" si="7"/>
        <v>174.13</v>
      </c>
      <c r="F70" s="47">
        <f t="shared" si="7"/>
        <v>191.42000000000002</v>
      </c>
      <c r="G70" s="48">
        <f t="shared" si="7"/>
        <v>300.22999999999996</v>
      </c>
      <c r="H70" s="46">
        <f t="shared" si="7"/>
        <v>436.9036630932813</v>
      </c>
      <c r="I70" s="47">
        <f t="shared" si="7"/>
        <v>588.48643648606469</v>
      </c>
      <c r="J70" s="47">
        <f t="shared" si="7"/>
        <v>757.07090136880993</v>
      </c>
      <c r="K70" s="47">
        <f t="shared" si="7"/>
        <v>939.33143247773035</v>
      </c>
      <c r="L70" s="48">
        <f t="shared" si="7"/>
        <v>1150.8347760609154</v>
      </c>
      <c r="M70" s="43"/>
      <c r="N70" s="43"/>
      <c r="O70" s="43"/>
      <c r="P70" s="43"/>
      <c r="Q70" s="43"/>
      <c r="R70" s="43"/>
      <c r="S70" s="43"/>
      <c r="T70" s="43"/>
      <c r="U70" s="43"/>
      <c r="V70" s="43"/>
      <c r="W70" s="43"/>
      <c r="X70" s="43"/>
      <c r="Y70" s="43"/>
      <c r="Z70" s="43"/>
      <c r="AA70" s="43"/>
      <c r="AB70" s="43"/>
      <c r="AC70" s="43"/>
      <c r="AD70" s="43"/>
      <c r="AE70" s="43"/>
      <c r="AF70" s="43"/>
      <c r="AG70" s="43"/>
    </row>
    <row r="71" spans="1:33" ht="14.25" customHeight="1" x14ac:dyDescent="0.3">
      <c r="B71" s="106"/>
      <c r="C71" s="107"/>
      <c r="D71" s="83"/>
      <c r="E71" s="83"/>
      <c r="F71" s="83"/>
      <c r="G71" s="108"/>
      <c r="H71" s="103"/>
      <c r="L71" s="104"/>
    </row>
    <row r="72" spans="1:33" ht="14.25" customHeight="1" x14ac:dyDescent="0.3">
      <c r="A72" s="44"/>
      <c r="B72" s="113" t="s">
        <v>234</v>
      </c>
      <c r="C72" s="46">
        <f t="shared" ref="C72:L72" si="8">SUM(C61:C66,C70)</f>
        <v>20782.77</v>
      </c>
      <c r="D72" s="47">
        <f t="shared" si="8"/>
        <v>25183.939999999995</v>
      </c>
      <c r="E72" s="47">
        <f t="shared" si="8"/>
        <v>24139.85</v>
      </c>
      <c r="F72" s="47">
        <f t="shared" si="8"/>
        <v>22618.729999999996</v>
      </c>
      <c r="G72" s="48">
        <f t="shared" si="8"/>
        <v>19823.03</v>
      </c>
      <c r="H72" s="46">
        <f t="shared" si="8"/>
        <v>12659.226247671058</v>
      </c>
      <c r="I72" s="47">
        <f t="shared" si="8"/>
        <v>18650.112939318067</v>
      </c>
      <c r="J72" s="47">
        <f t="shared" si="8"/>
        <v>29072.183811161565</v>
      </c>
      <c r="K72" s="47">
        <f t="shared" si="8"/>
        <v>38946.472218092807</v>
      </c>
      <c r="L72" s="48">
        <f t="shared" si="8"/>
        <v>45771.390607527013</v>
      </c>
      <c r="M72" s="44"/>
      <c r="N72" s="44"/>
    </row>
    <row r="73" spans="1:33" ht="14.25" customHeight="1" x14ac:dyDescent="0.3">
      <c r="A73" s="44"/>
      <c r="B73" s="113"/>
      <c r="C73" s="61"/>
      <c r="D73" s="62"/>
      <c r="E73" s="62"/>
      <c r="F73" s="62"/>
      <c r="G73" s="63"/>
      <c r="H73" s="61"/>
      <c r="I73" s="62"/>
      <c r="J73" s="62"/>
      <c r="K73" s="62"/>
      <c r="L73" s="63"/>
      <c r="M73" s="44"/>
      <c r="N73" s="44"/>
    </row>
    <row r="74" spans="1:33" ht="14.25" customHeight="1" x14ac:dyDescent="0.3">
      <c r="A74" s="44"/>
      <c r="B74" s="113" t="s">
        <v>235</v>
      </c>
      <c r="C74" s="46">
        <f t="shared" ref="C74:L74" si="9">C58+C72</f>
        <v>21706.799999999999</v>
      </c>
      <c r="D74" s="47">
        <f t="shared" si="9"/>
        <v>25912.479999999996</v>
      </c>
      <c r="E74" s="47">
        <f t="shared" si="9"/>
        <v>24703.01</v>
      </c>
      <c r="F74" s="47">
        <f t="shared" si="9"/>
        <v>23205.339999999997</v>
      </c>
      <c r="G74" s="48">
        <f t="shared" si="9"/>
        <v>20767.84</v>
      </c>
      <c r="H74" s="46">
        <f t="shared" si="9"/>
        <v>13867.045895357456</v>
      </c>
      <c r="I74" s="47">
        <f t="shared" si="9"/>
        <v>19661.930004574184</v>
      </c>
      <c r="J74" s="47">
        <f t="shared" si="9"/>
        <v>29888.683258816676</v>
      </c>
      <c r="K74" s="47">
        <f t="shared" si="9"/>
        <v>39568.390492533523</v>
      </c>
      <c r="L74" s="48">
        <f t="shared" si="9"/>
        <v>46198.836631834172</v>
      </c>
      <c r="M74" s="44"/>
      <c r="N74" s="44"/>
    </row>
    <row r="75" spans="1:33" ht="14.25" customHeight="1" x14ac:dyDescent="0.3">
      <c r="A75" s="44"/>
      <c r="B75" s="113"/>
      <c r="C75" s="61"/>
      <c r="D75" s="62"/>
      <c r="E75" s="62"/>
      <c r="F75" s="62"/>
      <c r="G75" s="63"/>
      <c r="H75" s="61"/>
      <c r="I75" s="62"/>
      <c r="J75" s="62"/>
      <c r="K75" s="62"/>
      <c r="L75" s="63"/>
      <c r="M75" s="44"/>
      <c r="N75" s="44"/>
    </row>
    <row r="76" spans="1:33" ht="14.25" customHeight="1" x14ac:dyDescent="0.3">
      <c r="A76" s="44"/>
      <c r="B76" s="113" t="s">
        <v>236</v>
      </c>
      <c r="C76" s="46">
        <f t="shared" ref="C76:L76" si="10">C45+C74</f>
        <v>24625.86</v>
      </c>
      <c r="D76" s="47">
        <f t="shared" si="10"/>
        <v>29233.839999999997</v>
      </c>
      <c r="E76" s="47">
        <f t="shared" si="10"/>
        <v>28880.57</v>
      </c>
      <c r="F76" s="47">
        <f t="shared" si="10"/>
        <v>28776.019999999997</v>
      </c>
      <c r="G76" s="48">
        <f t="shared" si="10"/>
        <v>27948.68</v>
      </c>
      <c r="H76" s="46">
        <f t="shared" si="10"/>
        <v>22644.012599616544</v>
      </c>
      <c r="I76" s="47">
        <f t="shared" si="10"/>
        <v>30203.487707645385</v>
      </c>
      <c r="J76" s="47">
        <f t="shared" si="10"/>
        <v>42739.796993367228</v>
      </c>
      <c r="K76" s="47">
        <f t="shared" si="10"/>
        <v>55269.690676472106</v>
      </c>
      <c r="L76" s="48">
        <f t="shared" si="10"/>
        <v>65395.391295253612</v>
      </c>
      <c r="M76" s="44"/>
      <c r="N76" s="44"/>
    </row>
    <row r="77" spans="1:33" ht="14.25" customHeight="1" x14ac:dyDescent="0.3">
      <c r="B77" s="106"/>
      <c r="C77" s="103"/>
      <c r="G77" s="104"/>
      <c r="H77" s="103"/>
      <c r="L77" s="104"/>
    </row>
    <row r="78" spans="1:33" ht="14.25" customHeight="1" x14ac:dyDescent="0.3">
      <c r="A78" s="119"/>
      <c r="B78" s="120" t="s">
        <v>237</v>
      </c>
      <c r="C78" s="121">
        <f t="shared" ref="C78:L78" si="11">C38-C76</f>
        <v>0</v>
      </c>
      <c r="D78" s="122">
        <f t="shared" si="11"/>
        <v>0</v>
      </c>
      <c r="E78" s="122">
        <f t="shared" si="11"/>
        <v>0</v>
      </c>
      <c r="F78" s="122">
        <f t="shared" si="11"/>
        <v>0</v>
      </c>
      <c r="G78" s="123">
        <f t="shared" si="11"/>
        <v>0</v>
      </c>
      <c r="H78" s="121">
        <f t="shared" si="11"/>
        <v>-8.4698366314369196</v>
      </c>
      <c r="I78" s="122">
        <f t="shared" si="11"/>
        <v>-122.14439073597532</v>
      </c>
      <c r="J78" s="122">
        <f t="shared" si="11"/>
        <v>-40.799082996680227</v>
      </c>
      <c r="K78" s="122">
        <f t="shared" si="11"/>
        <v>29.763341808946279</v>
      </c>
      <c r="L78" s="123">
        <f t="shared" si="11"/>
        <v>47.897167339368025</v>
      </c>
    </row>
    <row r="79" spans="1:33" ht="14.25" customHeight="1" x14ac:dyDescent="0.3">
      <c r="B79" s="92"/>
    </row>
    <row r="80" spans="1:33" ht="12.75" customHeight="1" x14ac:dyDescent="0.3">
      <c r="B80" s="92"/>
    </row>
    <row r="81" spans="2:2" ht="14.25" customHeight="1" x14ac:dyDescent="0.3">
      <c r="B81" s="92"/>
    </row>
    <row r="82" spans="2:2" ht="14.25" customHeight="1" x14ac:dyDescent="0.3">
      <c r="B82" s="92"/>
    </row>
    <row r="83" spans="2:2" ht="14.25" customHeight="1" x14ac:dyDescent="0.3">
      <c r="B83" s="92"/>
    </row>
    <row r="84" spans="2:2" ht="14.25" customHeight="1" x14ac:dyDescent="0.3">
      <c r="B84" s="92"/>
    </row>
    <row r="85" spans="2:2" ht="14.25" customHeight="1" x14ac:dyDescent="0.3">
      <c r="B85" s="92"/>
    </row>
    <row r="86" spans="2:2" ht="14.25" customHeight="1" x14ac:dyDescent="0.3">
      <c r="B86" s="92"/>
    </row>
    <row r="87" spans="2:2" ht="14.25" customHeight="1" x14ac:dyDescent="0.3">
      <c r="B87" s="92"/>
    </row>
    <row r="88" spans="2:2" ht="14.25" customHeight="1" x14ac:dyDescent="0.3">
      <c r="B88" s="92"/>
    </row>
    <row r="89" spans="2:2" ht="14.25" customHeight="1" x14ac:dyDescent="0.3">
      <c r="B89" s="92"/>
    </row>
    <row r="90" spans="2:2" ht="14.25" customHeight="1" x14ac:dyDescent="0.3">
      <c r="B90" s="92"/>
    </row>
    <row r="91" spans="2:2" ht="14.25" customHeight="1" x14ac:dyDescent="0.3">
      <c r="B91" s="92"/>
    </row>
    <row r="92" spans="2:2" ht="14.25" customHeight="1" x14ac:dyDescent="0.3"/>
    <row r="93" spans="2:2" ht="14.25" customHeight="1" x14ac:dyDescent="0.3"/>
    <row r="94" spans="2:2" ht="14.25" customHeight="1" x14ac:dyDescent="0.3"/>
    <row r="95" spans="2:2" ht="14.25" customHeight="1" x14ac:dyDescent="0.3"/>
    <row r="96" spans="2:2" ht="14.25" customHeight="1" x14ac:dyDescent="0.3"/>
    <row r="97" spans="1:33" ht="14.25" customHeight="1" x14ac:dyDescent="0.3"/>
    <row r="98" spans="1:33" ht="14.25" customHeight="1" x14ac:dyDescent="0.3"/>
    <row r="99" spans="1:33" ht="14.25" customHeight="1" x14ac:dyDescent="0.3"/>
    <row r="100" spans="1:33" ht="14.25" customHeight="1" x14ac:dyDescent="0.3"/>
    <row r="101" spans="1:33" ht="14.25" customHeight="1" x14ac:dyDescent="0.3"/>
    <row r="102" spans="1:33" ht="14.25" customHeight="1" x14ac:dyDescent="0.3"/>
    <row r="103" spans="1:33" ht="14.25" customHeight="1" x14ac:dyDescent="0.3"/>
    <row r="104" spans="1:33" ht="14.25" customHeight="1" x14ac:dyDescent="0.3"/>
    <row r="105" spans="1:33" ht="14.25" customHeight="1" x14ac:dyDescent="0.3"/>
    <row r="106" spans="1:33" ht="14.25" customHeight="1" x14ac:dyDescent="0.3"/>
    <row r="107" spans="1:33" ht="14.25" customHeight="1" x14ac:dyDescent="0.3"/>
    <row r="108" spans="1:33" ht="14.25" customHeight="1" x14ac:dyDescent="0.3"/>
    <row r="109" spans="1:33" ht="14.25" customHeight="1" x14ac:dyDescent="0.3">
      <c r="A109" s="124"/>
      <c r="B109" s="125"/>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row>
    <row r="110" spans="1:33" ht="14.25" customHeight="1" x14ac:dyDescent="0.3">
      <c r="A110" s="124"/>
      <c r="B110" s="125"/>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row>
    <row r="111" spans="1:33" ht="14.25" customHeight="1" x14ac:dyDescent="0.3">
      <c r="A111" s="124"/>
      <c r="B111" s="125"/>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row>
    <row r="112" spans="1:33" ht="14.25" customHeight="1" x14ac:dyDescent="0.3">
      <c r="A112" s="124"/>
      <c r="B112" s="125"/>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row>
    <row r="113" spans="1:33" ht="14.25" customHeight="1" x14ac:dyDescent="0.3">
      <c r="A113" s="124"/>
      <c r="B113" s="125"/>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row>
    <row r="114" spans="1:33" ht="14.25" customHeight="1" x14ac:dyDescent="0.3">
      <c r="A114" s="124"/>
      <c r="B114" s="125"/>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row>
    <row r="115" spans="1:33" ht="14.25" customHeight="1" x14ac:dyDescent="0.3">
      <c r="A115" s="124"/>
      <c r="B115" s="125"/>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row>
    <row r="116" spans="1:33" ht="14.25" customHeight="1" x14ac:dyDescent="0.3">
      <c r="A116" s="124"/>
      <c r="B116" s="125"/>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row>
    <row r="117" spans="1:33" ht="14.25" customHeight="1" x14ac:dyDescent="0.3">
      <c r="A117" s="124"/>
      <c r="B117" s="125"/>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row>
    <row r="118" spans="1:33" ht="14.25" customHeight="1" x14ac:dyDescent="0.3">
      <c r="A118" s="124"/>
      <c r="B118" s="125"/>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row>
    <row r="119" spans="1:33" ht="14.25" customHeight="1" x14ac:dyDescent="0.3">
      <c r="A119" s="124"/>
      <c r="B119" s="125"/>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row>
    <row r="120" spans="1:33" ht="14.25" customHeight="1" x14ac:dyDescent="0.3">
      <c r="A120" s="124"/>
      <c r="B120" s="125"/>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row>
    <row r="121" spans="1:33" ht="14.25" customHeight="1" x14ac:dyDescent="0.3">
      <c r="A121" s="124"/>
      <c r="B121" s="125"/>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row>
    <row r="122" spans="1:33" ht="14.25" customHeight="1" x14ac:dyDescent="0.3">
      <c r="A122" s="124"/>
      <c r="B122" s="125"/>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row>
    <row r="123" spans="1:33" ht="14.25" customHeight="1" x14ac:dyDescent="0.3">
      <c r="A123" s="124"/>
      <c r="B123" s="125"/>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row>
    <row r="124" spans="1:33" ht="14.25" customHeight="1" x14ac:dyDescent="0.3">
      <c r="A124" s="124"/>
      <c r="B124" s="125"/>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row>
    <row r="125" spans="1:33" ht="14.25" customHeight="1" x14ac:dyDescent="0.3">
      <c r="A125" s="124"/>
      <c r="B125" s="125"/>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row>
    <row r="126" spans="1:33" ht="14.25" customHeight="1" x14ac:dyDescent="0.3">
      <c r="A126" s="124"/>
      <c r="B126" s="125"/>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row>
    <row r="127" spans="1:33" ht="14.25" customHeight="1" x14ac:dyDescent="0.3">
      <c r="A127" s="124"/>
      <c r="B127" s="125"/>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row>
    <row r="128" spans="1:33" ht="14.25" customHeight="1" x14ac:dyDescent="0.3">
      <c r="A128" s="124"/>
      <c r="B128" s="125"/>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row>
    <row r="129" spans="1:33" ht="14.25" customHeight="1" x14ac:dyDescent="0.3">
      <c r="A129" s="124"/>
      <c r="B129" s="125"/>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row>
    <row r="130" spans="1:33" ht="14.25" customHeight="1" x14ac:dyDescent="0.3">
      <c r="A130" s="124"/>
      <c r="B130" s="125"/>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row>
    <row r="131" spans="1:33" ht="14.25" customHeight="1" x14ac:dyDescent="0.3">
      <c r="A131" s="124"/>
      <c r="B131" s="125"/>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row>
    <row r="132" spans="1:33" ht="14.25" customHeight="1" x14ac:dyDescent="0.3">
      <c r="A132" s="124"/>
      <c r="B132" s="125"/>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row>
    <row r="133" spans="1:33" ht="14.25" customHeight="1" x14ac:dyDescent="0.3">
      <c r="A133" s="124"/>
      <c r="B133" s="125"/>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row>
    <row r="134" spans="1:33" ht="14.25" customHeight="1" x14ac:dyDescent="0.3">
      <c r="A134" s="124"/>
      <c r="B134" s="125"/>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row>
    <row r="135" spans="1:33" ht="14.25" customHeight="1" x14ac:dyDescent="0.3">
      <c r="A135" s="124"/>
      <c r="B135" s="125"/>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row>
    <row r="136" spans="1:33" ht="14.25" customHeight="1" x14ac:dyDescent="0.3">
      <c r="A136" s="124"/>
      <c r="B136" s="125"/>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row>
    <row r="137" spans="1:33" ht="14.25" customHeight="1" x14ac:dyDescent="0.3">
      <c r="A137" s="124"/>
      <c r="B137" s="125"/>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row>
    <row r="138" spans="1:33" ht="14.25" customHeight="1" x14ac:dyDescent="0.3">
      <c r="A138" s="124"/>
      <c r="B138" s="125"/>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row>
    <row r="139" spans="1:33" ht="14.25" customHeight="1" x14ac:dyDescent="0.3">
      <c r="A139" s="124"/>
      <c r="B139" s="125"/>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row>
    <row r="140" spans="1:33" ht="14.25" customHeight="1" x14ac:dyDescent="0.3">
      <c r="A140" s="124"/>
      <c r="B140" s="125"/>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row>
    <row r="141" spans="1:33" ht="14.25" customHeight="1" x14ac:dyDescent="0.3">
      <c r="A141" s="124"/>
      <c r="B141" s="125"/>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row>
    <row r="142" spans="1:33" ht="14.25" customHeight="1" x14ac:dyDescent="0.3">
      <c r="A142" s="124"/>
      <c r="B142" s="125"/>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row>
    <row r="143" spans="1:33" ht="14.25" customHeight="1" x14ac:dyDescent="0.3">
      <c r="A143" s="124"/>
      <c r="B143" s="125"/>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row>
    <row r="144" spans="1:33" ht="14.25" customHeight="1" x14ac:dyDescent="0.3">
      <c r="A144" s="124"/>
      <c r="B144" s="125"/>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row>
    <row r="145" spans="1:33" ht="14.25" customHeight="1" x14ac:dyDescent="0.3">
      <c r="A145" s="124"/>
      <c r="B145" s="125"/>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row>
    <row r="146" spans="1:33" ht="14.25" customHeight="1" x14ac:dyDescent="0.3">
      <c r="A146" s="124"/>
      <c r="B146" s="125"/>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row>
    <row r="147" spans="1:33" ht="14.25" customHeight="1" x14ac:dyDescent="0.3">
      <c r="A147" s="124"/>
      <c r="B147" s="125"/>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row>
    <row r="148" spans="1:33" ht="14.25" customHeight="1" x14ac:dyDescent="0.3">
      <c r="A148" s="124"/>
      <c r="B148" s="125"/>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row>
    <row r="149" spans="1:33" ht="14.25" customHeight="1" x14ac:dyDescent="0.3">
      <c r="A149" s="124"/>
      <c r="B149" s="125"/>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row>
    <row r="150" spans="1:33" ht="14.25" customHeight="1" x14ac:dyDescent="0.3">
      <c r="A150" s="124"/>
      <c r="B150" s="125"/>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row>
    <row r="151" spans="1:33" ht="14.25" customHeight="1" x14ac:dyDescent="0.3">
      <c r="A151" s="124"/>
      <c r="B151" s="125"/>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row>
    <row r="152" spans="1:33" ht="14.25" customHeight="1" x14ac:dyDescent="0.3">
      <c r="A152" s="124"/>
      <c r="B152" s="125"/>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row>
    <row r="153" spans="1:33" ht="14.25" customHeight="1" x14ac:dyDescent="0.3">
      <c r="A153" s="124"/>
      <c r="B153" s="125"/>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row>
    <row r="154" spans="1:33" ht="14.25" customHeight="1" x14ac:dyDescent="0.3">
      <c r="A154" s="124"/>
      <c r="B154" s="125"/>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row>
    <row r="155" spans="1:33" ht="14.25" customHeight="1" x14ac:dyDescent="0.3">
      <c r="A155" s="124"/>
      <c r="B155" s="125"/>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row>
    <row r="156" spans="1:33" ht="14.25" customHeight="1" x14ac:dyDescent="0.3">
      <c r="A156" s="124"/>
      <c r="B156" s="125"/>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row>
    <row r="157" spans="1:33" ht="14.25" customHeight="1" x14ac:dyDescent="0.3">
      <c r="A157" s="124"/>
      <c r="B157" s="125"/>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row>
    <row r="158" spans="1:33" ht="14.25" customHeight="1" x14ac:dyDescent="0.3">
      <c r="A158" s="124"/>
      <c r="B158" s="125"/>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row>
    <row r="159" spans="1:33" ht="14.25" customHeight="1" x14ac:dyDescent="0.3">
      <c r="A159" s="124"/>
      <c r="B159" s="125"/>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row>
    <row r="160" spans="1:33" ht="14.25" customHeight="1" x14ac:dyDescent="0.3">
      <c r="A160" s="124"/>
      <c r="B160" s="125"/>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row>
    <row r="161" spans="1:33" ht="14.25" customHeight="1" x14ac:dyDescent="0.3">
      <c r="A161" s="124"/>
      <c r="B161" s="125"/>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row>
    <row r="162" spans="1:33" ht="14.25" customHeight="1" x14ac:dyDescent="0.3">
      <c r="A162" s="124"/>
      <c r="B162" s="125"/>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row>
    <row r="163" spans="1:33" ht="14.25" customHeight="1" x14ac:dyDescent="0.3">
      <c r="A163" s="124"/>
      <c r="B163" s="125"/>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row>
    <row r="164" spans="1:33" ht="14.25" customHeight="1" x14ac:dyDescent="0.3">
      <c r="A164" s="124"/>
      <c r="B164" s="125"/>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row>
    <row r="165" spans="1:33" ht="14.25" customHeight="1" x14ac:dyDescent="0.3">
      <c r="A165" s="124"/>
      <c r="B165" s="125"/>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row>
    <row r="166" spans="1:33" ht="14.25" customHeight="1" x14ac:dyDescent="0.3">
      <c r="A166" s="124"/>
      <c r="B166" s="125"/>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row>
    <row r="167" spans="1:33" ht="14.25" customHeight="1" x14ac:dyDescent="0.3">
      <c r="A167" s="124"/>
      <c r="B167" s="125"/>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row>
    <row r="168" spans="1:33" ht="14.25" customHeight="1" x14ac:dyDescent="0.3">
      <c r="A168" s="124"/>
      <c r="B168" s="125"/>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row>
    <row r="169" spans="1:33" ht="14.25" customHeight="1" x14ac:dyDescent="0.3">
      <c r="A169" s="124"/>
      <c r="B169" s="125"/>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row>
    <row r="170" spans="1:33" ht="14.25" customHeight="1" x14ac:dyDescent="0.3">
      <c r="A170" s="124"/>
      <c r="B170" s="125"/>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row>
    <row r="171" spans="1:33" ht="14.25" customHeight="1" x14ac:dyDescent="0.3">
      <c r="A171" s="124"/>
      <c r="B171" s="125"/>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row>
    <row r="172" spans="1:33" ht="14.25" customHeight="1" x14ac:dyDescent="0.3">
      <c r="A172" s="124"/>
      <c r="B172" s="125"/>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row>
    <row r="173" spans="1:33" ht="14.25" customHeight="1" x14ac:dyDescent="0.3">
      <c r="A173" s="124"/>
      <c r="B173" s="125"/>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row>
    <row r="174" spans="1:33" ht="14.25" customHeight="1" x14ac:dyDescent="0.3">
      <c r="A174" s="124"/>
      <c r="B174" s="125"/>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row>
    <row r="175" spans="1:33" ht="14.25" customHeight="1" x14ac:dyDescent="0.3">
      <c r="A175" s="124"/>
      <c r="B175" s="125"/>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row>
    <row r="176" spans="1:33" ht="14.25" customHeight="1" x14ac:dyDescent="0.3">
      <c r="A176" s="124"/>
      <c r="B176" s="125"/>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row>
    <row r="177" spans="1:33" ht="14.25" customHeight="1" x14ac:dyDescent="0.3">
      <c r="A177" s="124"/>
      <c r="B177" s="125"/>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row>
    <row r="178" spans="1:33" ht="14.25" customHeight="1" x14ac:dyDescent="0.3">
      <c r="A178" s="124"/>
      <c r="B178" s="125"/>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row>
    <row r="179" spans="1:33" ht="14.25" customHeight="1" x14ac:dyDescent="0.3">
      <c r="A179" s="124"/>
      <c r="B179" s="125"/>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row>
    <row r="180" spans="1:33" ht="14.25" customHeight="1" x14ac:dyDescent="0.3">
      <c r="A180" s="124"/>
      <c r="B180" s="125"/>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row>
    <row r="181" spans="1:33" ht="14.25" customHeight="1" x14ac:dyDescent="0.3">
      <c r="A181" s="124"/>
      <c r="B181" s="125"/>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row>
    <row r="182" spans="1:33" ht="14.25" customHeight="1" x14ac:dyDescent="0.3">
      <c r="A182" s="124"/>
      <c r="B182" s="125"/>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row>
    <row r="183" spans="1:33" ht="14.25" customHeight="1" x14ac:dyDescent="0.3">
      <c r="A183" s="124"/>
      <c r="B183" s="125"/>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row>
    <row r="184" spans="1:33" ht="14.25" customHeight="1" x14ac:dyDescent="0.3">
      <c r="A184" s="124"/>
      <c r="B184" s="125"/>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row>
    <row r="185" spans="1:33" ht="14.25" customHeight="1" x14ac:dyDescent="0.3">
      <c r="A185" s="124"/>
      <c r="B185" s="125"/>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row>
    <row r="186" spans="1:33" ht="14.25" customHeight="1" x14ac:dyDescent="0.3">
      <c r="A186" s="124"/>
      <c r="B186" s="125"/>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row>
    <row r="187" spans="1:33" ht="14.25" customHeight="1" x14ac:dyDescent="0.3">
      <c r="A187" s="124"/>
      <c r="B187" s="125"/>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row>
    <row r="188" spans="1:33" ht="14.25" customHeight="1" x14ac:dyDescent="0.3">
      <c r="A188" s="124"/>
      <c r="B188" s="125"/>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row>
    <row r="189" spans="1:33" ht="14.25" customHeight="1" x14ac:dyDescent="0.3">
      <c r="A189" s="124"/>
      <c r="B189" s="125"/>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row>
    <row r="190" spans="1:33" ht="14.25" customHeight="1" x14ac:dyDescent="0.3">
      <c r="A190" s="124"/>
      <c r="B190" s="125"/>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row>
    <row r="191" spans="1:33" ht="14.25" customHeight="1" x14ac:dyDescent="0.3">
      <c r="A191" s="124"/>
      <c r="B191" s="125"/>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row>
    <row r="192" spans="1:33" ht="14.25" customHeight="1" x14ac:dyDescent="0.3">
      <c r="A192" s="124"/>
      <c r="B192" s="125"/>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row>
    <row r="193" spans="1:33" ht="14.25" customHeight="1" x14ac:dyDescent="0.3">
      <c r="A193" s="124"/>
      <c r="B193" s="125"/>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row>
    <row r="194" spans="1:33" ht="14.25" customHeight="1" x14ac:dyDescent="0.3">
      <c r="A194" s="124"/>
      <c r="B194" s="125"/>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row>
    <row r="195" spans="1:33" ht="14.25" customHeight="1" x14ac:dyDescent="0.3">
      <c r="A195" s="124"/>
      <c r="B195" s="125"/>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row>
    <row r="196" spans="1:33" ht="14.25" customHeight="1" x14ac:dyDescent="0.3">
      <c r="A196" s="124"/>
      <c r="B196" s="125"/>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row>
    <row r="197" spans="1:33" ht="14.25" customHeight="1" x14ac:dyDescent="0.3">
      <c r="A197" s="124"/>
      <c r="B197" s="125"/>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row>
    <row r="198" spans="1:33" ht="14.25" customHeight="1" x14ac:dyDescent="0.3">
      <c r="A198" s="124"/>
      <c r="B198" s="125"/>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row>
    <row r="199" spans="1:33" ht="14.25" customHeight="1" x14ac:dyDescent="0.3">
      <c r="A199" s="124"/>
      <c r="B199" s="125"/>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row>
    <row r="200" spans="1:33" ht="14.25" customHeight="1" x14ac:dyDescent="0.3">
      <c r="A200" s="124"/>
      <c r="B200" s="125"/>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row>
    <row r="201" spans="1:33" ht="14.25" customHeight="1" x14ac:dyDescent="0.3">
      <c r="A201" s="124"/>
      <c r="B201" s="125"/>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row>
    <row r="202" spans="1:33" ht="14.25" customHeight="1" x14ac:dyDescent="0.3">
      <c r="A202" s="124"/>
      <c r="B202" s="125"/>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row>
    <row r="203" spans="1:33" ht="14.25" customHeight="1" x14ac:dyDescent="0.3">
      <c r="A203" s="124"/>
      <c r="B203" s="125"/>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row>
    <row r="204" spans="1:33" ht="14.25" customHeight="1" x14ac:dyDescent="0.3">
      <c r="A204" s="124"/>
      <c r="B204" s="125"/>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row>
    <row r="205" spans="1:33" ht="14.25" customHeight="1" x14ac:dyDescent="0.3">
      <c r="A205" s="124"/>
      <c r="B205" s="125"/>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row>
    <row r="206" spans="1:33" ht="14.25" customHeight="1" x14ac:dyDescent="0.3">
      <c r="A206" s="124"/>
      <c r="B206" s="125"/>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row>
    <row r="207" spans="1:33" ht="14.25" customHeight="1" x14ac:dyDescent="0.3">
      <c r="A207" s="124"/>
      <c r="B207" s="125"/>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row>
    <row r="208" spans="1:33" ht="14.25" customHeight="1" x14ac:dyDescent="0.3">
      <c r="A208" s="124"/>
      <c r="B208" s="125"/>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row>
    <row r="209" spans="1:33" ht="14.25" customHeight="1" x14ac:dyDescent="0.3">
      <c r="A209" s="124"/>
      <c r="B209" s="125"/>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row>
    <row r="210" spans="1:33" ht="14.25" customHeight="1" x14ac:dyDescent="0.3">
      <c r="A210" s="124"/>
      <c r="B210" s="125"/>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row>
    <row r="211" spans="1:33" ht="14.25" customHeight="1" x14ac:dyDescent="0.3">
      <c r="A211" s="124"/>
      <c r="B211" s="125"/>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row>
    <row r="212" spans="1:33" ht="14.25" customHeight="1" x14ac:dyDescent="0.3">
      <c r="A212" s="124"/>
      <c r="B212" s="125"/>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row>
    <row r="213" spans="1:33" ht="14.25" customHeight="1" x14ac:dyDescent="0.3">
      <c r="A213" s="124"/>
      <c r="B213" s="125"/>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row>
    <row r="214" spans="1:33" ht="14.25" customHeight="1" x14ac:dyDescent="0.3">
      <c r="A214" s="124"/>
      <c r="B214" s="125"/>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row>
    <row r="215" spans="1:33" ht="14.25" customHeight="1" x14ac:dyDescent="0.3">
      <c r="A215" s="124"/>
      <c r="B215" s="125"/>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row>
    <row r="216" spans="1:33" ht="14.25" customHeight="1" x14ac:dyDescent="0.3">
      <c r="A216" s="124"/>
      <c r="B216" s="125"/>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row>
    <row r="217" spans="1:33" ht="14.25" customHeight="1" x14ac:dyDescent="0.3">
      <c r="A217" s="124"/>
      <c r="B217" s="125"/>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row>
    <row r="218" spans="1:33" ht="14.25" customHeight="1" x14ac:dyDescent="0.3">
      <c r="A218" s="124"/>
      <c r="B218" s="125"/>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row>
    <row r="219" spans="1:33" ht="14.25" customHeight="1" x14ac:dyDescent="0.3">
      <c r="A219" s="124"/>
      <c r="B219" s="125"/>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row>
    <row r="220" spans="1:33" ht="14.25" customHeight="1" x14ac:dyDescent="0.3">
      <c r="A220" s="124"/>
      <c r="B220" s="125"/>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row>
    <row r="221" spans="1:33" ht="14.25" customHeight="1" x14ac:dyDescent="0.3">
      <c r="A221" s="124"/>
      <c r="B221" s="125"/>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row>
    <row r="222" spans="1:33" ht="14.25" customHeight="1" x14ac:dyDescent="0.3">
      <c r="A222" s="124"/>
      <c r="B222" s="125"/>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row>
    <row r="223" spans="1:33" ht="14.25" customHeight="1" x14ac:dyDescent="0.3">
      <c r="A223" s="124"/>
      <c r="B223" s="125"/>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row>
    <row r="224" spans="1:33" ht="14.25" customHeight="1" x14ac:dyDescent="0.3">
      <c r="A224" s="124"/>
      <c r="B224" s="125"/>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row>
    <row r="225" spans="1:33" ht="14.25" customHeight="1" x14ac:dyDescent="0.3">
      <c r="A225" s="124"/>
      <c r="B225" s="125"/>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row>
    <row r="226" spans="1:33" ht="14.25" customHeight="1" x14ac:dyDescent="0.3">
      <c r="A226" s="124"/>
      <c r="B226" s="125"/>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row>
    <row r="227" spans="1:33" ht="14.25" customHeight="1" x14ac:dyDescent="0.3">
      <c r="A227" s="124"/>
      <c r="B227" s="125"/>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row>
    <row r="228" spans="1:33" ht="14.25" customHeight="1" x14ac:dyDescent="0.3">
      <c r="A228" s="124"/>
      <c r="B228" s="125"/>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row>
    <row r="229" spans="1:33" ht="14.25" customHeight="1" x14ac:dyDescent="0.3">
      <c r="A229" s="124"/>
      <c r="B229" s="125"/>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row>
    <row r="230" spans="1:33" ht="14.25" customHeight="1" x14ac:dyDescent="0.3">
      <c r="A230" s="124"/>
      <c r="B230" s="125"/>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row>
    <row r="231" spans="1:33" ht="14.25" customHeight="1" x14ac:dyDescent="0.3">
      <c r="A231" s="124"/>
      <c r="B231" s="125"/>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row>
    <row r="232" spans="1:33" ht="14.25" customHeight="1" x14ac:dyDescent="0.3">
      <c r="A232" s="124"/>
      <c r="B232" s="125"/>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row>
    <row r="233" spans="1:33" ht="14.25" customHeight="1" x14ac:dyDescent="0.3">
      <c r="A233" s="124"/>
      <c r="B233" s="125"/>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row>
    <row r="234" spans="1:33" ht="14.25" customHeight="1" x14ac:dyDescent="0.3">
      <c r="A234" s="124"/>
      <c r="B234" s="125"/>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row>
    <row r="235" spans="1:33" ht="14.25" customHeight="1" x14ac:dyDescent="0.3">
      <c r="A235" s="124"/>
      <c r="B235" s="125"/>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row>
    <row r="236" spans="1:33" ht="14.25" customHeight="1" x14ac:dyDescent="0.3">
      <c r="A236" s="124"/>
      <c r="B236" s="125"/>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row>
    <row r="237" spans="1:33" ht="14.25" customHeight="1" x14ac:dyDescent="0.3">
      <c r="A237" s="124"/>
      <c r="B237" s="125"/>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row>
    <row r="238" spans="1:33" ht="14.25" customHeight="1" x14ac:dyDescent="0.3">
      <c r="A238" s="124"/>
      <c r="B238" s="125"/>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row>
    <row r="239" spans="1:33" ht="14.25" customHeight="1" x14ac:dyDescent="0.3">
      <c r="A239" s="124"/>
      <c r="B239" s="125"/>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row>
    <row r="240" spans="1:33" ht="14.25" customHeight="1" x14ac:dyDescent="0.3">
      <c r="A240" s="124"/>
      <c r="B240" s="125"/>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row>
    <row r="241" spans="1:33" ht="14.25" customHeight="1" x14ac:dyDescent="0.3">
      <c r="A241" s="124"/>
      <c r="B241" s="125"/>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row>
    <row r="242" spans="1:33" ht="14.25" customHeight="1" x14ac:dyDescent="0.3">
      <c r="A242" s="124"/>
      <c r="B242" s="125"/>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row>
    <row r="243" spans="1:33" ht="14.25" customHeight="1" x14ac:dyDescent="0.3">
      <c r="A243" s="124"/>
      <c r="B243" s="125"/>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row>
    <row r="244" spans="1:33" ht="14.25" customHeight="1" x14ac:dyDescent="0.3">
      <c r="A244" s="124"/>
      <c r="B244" s="125"/>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row>
    <row r="245" spans="1:33" ht="14.25" customHeight="1" x14ac:dyDescent="0.3">
      <c r="A245" s="124"/>
      <c r="B245" s="125"/>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row>
    <row r="246" spans="1:33" ht="14.25" customHeight="1" x14ac:dyDescent="0.3">
      <c r="A246" s="124"/>
      <c r="B246" s="125"/>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row>
    <row r="247" spans="1:33" ht="14.25" customHeight="1" x14ac:dyDescent="0.3">
      <c r="A247" s="124"/>
      <c r="B247" s="125"/>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row>
    <row r="248" spans="1:33" ht="14.25" customHeight="1" x14ac:dyDescent="0.3">
      <c r="A248" s="124"/>
      <c r="B248" s="125"/>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row>
    <row r="249" spans="1:33" ht="14.25" customHeight="1" x14ac:dyDescent="0.3">
      <c r="A249" s="124"/>
      <c r="B249" s="125"/>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row>
    <row r="250" spans="1:33" ht="14.25" customHeight="1" x14ac:dyDescent="0.3">
      <c r="A250" s="124"/>
      <c r="B250" s="125"/>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row>
    <row r="251" spans="1:33" ht="14.25" customHeight="1" x14ac:dyDescent="0.3">
      <c r="A251" s="124"/>
      <c r="B251" s="125"/>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row>
    <row r="252" spans="1:33" ht="14.25" customHeight="1" x14ac:dyDescent="0.3">
      <c r="A252" s="124"/>
      <c r="B252" s="125"/>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row>
    <row r="253" spans="1:33" ht="14.25" customHeight="1" x14ac:dyDescent="0.3">
      <c r="A253" s="124"/>
      <c r="B253" s="125"/>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row>
    <row r="254" spans="1:33" ht="14.25" customHeight="1" x14ac:dyDescent="0.3">
      <c r="A254" s="124"/>
      <c r="B254" s="125"/>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row>
    <row r="255" spans="1:33" ht="14.25" customHeight="1" x14ac:dyDescent="0.3">
      <c r="A255" s="124"/>
      <c r="B255" s="125"/>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row>
    <row r="256" spans="1:33" ht="14.25" customHeight="1" x14ac:dyDescent="0.3">
      <c r="A256" s="124"/>
      <c r="B256" s="125"/>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row>
    <row r="257" spans="1:33" ht="14.25" customHeight="1" x14ac:dyDescent="0.3">
      <c r="A257" s="124"/>
      <c r="B257" s="125"/>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row>
    <row r="258" spans="1:33" ht="14.25" customHeight="1" x14ac:dyDescent="0.3">
      <c r="A258" s="124"/>
      <c r="B258" s="125"/>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row>
    <row r="259" spans="1:33" ht="14.25" customHeight="1" x14ac:dyDescent="0.3">
      <c r="A259" s="124"/>
      <c r="B259" s="125"/>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row>
    <row r="260" spans="1:33" ht="14.25" customHeight="1" x14ac:dyDescent="0.3">
      <c r="A260" s="124"/>
      <c r="B260" s="125"/>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row>
    <row r="261" spans="1:33" ht="14.25" customHeight="1" x14ac:dyDescent="0.3">
      <c r="A261" s="124"/>
      <c r="B261" s="125"/>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row>
    <row r="262" spans="1:33" ht="14.25" customHeight="1" x14ac:dyDescent="0.3">
      <c r="A262" s="124"/>
      <c r="B262" s="125"/>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row>
    <row r="263" spans="1:33" ht="14.25" customHeight="1" x14ac:dyDescent="0.3">
      <c r="A263" s="124"/>
      <c r="B263" s="125"/>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row>
    <row r="264" spans="1:33" ht="14.25" customHeight="1" x14ac:dyDescent="0.3">
      <c r="A264" s="124"/>
      <c r="B264" s="125"/>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row>
    <row r="265" spans="1:33" ht="14.25" customHeight="1" x14ac:dyDescent="0.3">
      <c r="A265" s="124"/>
      <c r="B265" s="125"/>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row>
    <row r="266" spans="1:33" ht="14.25" customHeight="1" x14ac:dyDescent="0.3">
      <c r="A266" s="124"/>
      <c r="B266" s="125"/>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row>
    <row r="267" spans="1:33" ht="14.25" customHeight="1" x14ac:dyDescent="0.3">
      <c r="A267" s="124"/>
      <c r="B267" s="125"/>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row>
    <row r="268" spans="1:33" ht="14.25" customHeight="1" x14ac:dyDescent="0.3">
      <c r="A268" s="124"/>
      <c r="B268" s="125"/>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row>
    <row r="269" spans="1:33" ht="14.25" customHeight="1" x14ac:dyDescent="0.3">
      <c r="A269" s="124"/>
      <c r="B269" s="125"/>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row>
    <row r="270" spans="1:33" ht="14.25" customHeight="1" x14ac:dyDescent="0.3">
      <c r="A270" s="124"/>
      <c r="B270" s="125"/>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row>
    <row r="271" spans="1:33" ht="14.25" customHeight="1" x14ac:dyDescent="0.3">
      <c r="A271" s="124"/>
      <c r="B271" s="125"/>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row>
    <row r="272" spans="1:33" ht="14.25" customHeight="1" x14ac:dyDescent="0.3">
      <c r="A272" s="124"/>
      <c r="B272" s="125"/>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row>
    <row r="273" spans="1:33" ht="14.25" customHeight="1" x14ac:dyDescent="0.3">
      <c r="A273" s="124"/>
      <c r="B273" s="125"/>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row>
    <row r="274" spans="1:33" ht="14.25" customHeight="1" x14ac:dyDescent="0.3">
      <c r="A274" s="124"/>
      <c r="B274" s="125"/>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row>
    <row r="275" spans="1:33" ht="14.25" customHeight="1" x14ac:dyDescent="0.3">
      <c r="A275" s="124"/>
      <c r="B275" s="125"/>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row>
    <row r="276" spans="1:33" ht="14.25" customHeight="1" x14ac:dyDescent="0.3">
      <c r="A276" s="124"/>
      <c r="B276" s="125"/>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row>
    <row r="277" spans="1:33" ht="14.25" customHeight="1" x14ac:dyDescent="0.3">
      <c r="A277" s="124"/>
      <c r="B277" s="125"/>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row>
    <row r="278" spans="1:33" ht="14.25" customHeight="1" x14ac:dyDescent="0.3">
      <c r="A278" s="124"/>
      <c r="B278" s="125"/>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row>
    <row r="279" spans="1:33" ht="14.25" customHeight="1" x14ac:dyDescent="0.3">
      <c r="A279" s="124"/>
      <c r="B279" s="125"/>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row>
    <row r="280" spans="1:33" ht="14.25" customHeight="1" x14ac:dyDescent="0.3">
      <c r="A280" s="124"/>
      <c r="B280" s="125"/>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row>
    <row r="281" spans="1:33" ht="14.25" customHeight="1" x14ac:dyDescent="0.3">
      <c r="A281" s="124"/>
      <c r="B281" s="125"/>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row>
    <row r="282" spans="1:33" ht="14.25" customHeight="1" x14ac:dyDescent="0.3">
      <c r="A282" s="124"/>
      <c r="B282" s="125"/>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row>
    <row r="283" spans="1:33" ht="14.25" customHeight="1" x14ac:dyDescent="0.3">
      <c r="A283" s="124"/>
      <c r="B283" s="125"/>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row>
    <row r="284" spans="1:33" ht="14.25" customHeight="1" x14ac:dyDescent="0.3">
      <c r="A284" s="124"/>
      <c r="B284" s="125"/>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row>
    <row r="285" spans="1:33" ht="14.25" customHeight="1" x14ac:dyDescent="0.3">
      <c r="A285" s="124"/>
      <c r="B285" s="125"/>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row>
    <row r="286" spans="1:33" ht="14.25" customHeight="1" x14ac:dyDescent="0.3">
      <c r="A286" s="124"/>
      <c r="B286" s="125"/>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row>
    <row r="287" spans="1:33" ht="14.25" customHeight="1" x14ac:dyDescent="0.3">
      <c r="A287" s="124"/>
      <c r="B287" s="125"/>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row>
    <row r="288" spans="1:33" ht="14.25" customHeight="1" x14ac:dyDescent="0.3">
      <c r="A288" s="124"/>
      <c r="B288" s="125"/>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row>
    <row r="289" spans="1:33" ht="14.25" customHeight="1" x14ac:dyDescent="0.3">
      <c r="A289" s="124"/>
      <c r="B289" s="125"/>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row>
    <row r="290" spans="1:33" ht="14.25" customHeight="1" x14ac:dyDescent="0.3">
      <c r="A290" s="124"/>
      <c r="B290" s="125"/>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row>
    <row r="291" spans="1:33" ht="14.25" customHeight="1" x14ac:dyDescent="0.3">
      <c r="A291" s="124"/>
      <c r="B291" s="125"/>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row>
    <row r="292" spans="1:33" ht="14.25" customHeight="1" x14ac:dyDescent="0.3">
      <c r="A292" s="124"/>
      <c r="B292" s="125"/>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row>
    <row r="293" spans="1:33" ht="14.25" customHeight="1" x14ac:dyDescent="0.3">
      <c r="A293" s="124"/>
      <c r="B293" s="125"/>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row>
    <row r="294" spans="1:33" ht="14.25" customHeight="1" x14ac:dyDescent="0.3">
      <c r="A294" s="124"/>
      <c r="B294" s="125"/>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row>
    <row r="295" spans="1:33" ht="14.25" customHeight="1" x14ac:dyDescent="0.3">
      <c r="A295" s="124"/>
      <c r="B295" s="125"/>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row>
    <row r="296" spans="1:33" ht="14.25" customHeight="1" x14ac:dyDescent="0.3">
      <c r="A296" s="124"/>
      <c r="B296" s="125"/>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row>
    <row r="297" spans="1:33" ht="14.25" customHeight="1" x14ac:dyDescent="0.3">
      <c r="A297" s="124"/>
      <c r="B297" s="125"/>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row>
    <row r="298" spans="1:33" ht="14.25" customHeight="1" x14ac:dyDescent="0.3">
      <c r="A298" s="124"/>
      <c r="B298" s="125"/>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row>
    <row r="299" spans="1:33" ht="14.25" customHeight="1" x14ac:dyDescent="0.3">
      <c r="A299" s="124"/>
      <c r="B299" s="125"/>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row>
    <row r="300" spans="1:33" ht="14.25" customHeight="1" x14ac:dyDescent="0.3">
      <c r="A300" s="124"/>
      <c r="B300" s="125"/>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row>
    <row r="301" spans="1:33" ht="14.25" customHeight="1" x14ac:dyDescent="0.3">
      <c r="A301" s="124"/>
      <c r="B301" s="125"/>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row>
    <row r="302" spans="1:33" ht="14.25" customHeight="1" x14ac:dyDescent="0.3">
      <c r="A302" s="124"/>
      <c r="B302" s="125"/>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row>
    <row r="303" spans="1:33" ht="14.25" customHeight="1" x14ac:dyDescent="0.3">
      <c r="A303" s="124"/>
      <c r="B303" s="125"/>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row>
    <row r="304" spans="1:33" ht="14.25" customHeight="1" x14ac:dyDescent="0.3">
      <c r="A304" s="124"/>
      <c r="B304" s="125"/>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row>
    <row r="305" spans="1:33" ht="14.25" customHeight="1" x14ac:dyDescent="0.3">
      <c r="A305" s="124"/>
      <c r="B305" s="125"/>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row>
    <row r="306" spans="1:33" ht="14.25" customHeight="1" x14ac:dyDescent="0.3">
      <c r="A306" s="124"/>
      <c r="B306" s="125"/>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row>
    <row r="307" spans="1:33" ht="14.25" customHeight="1" x14ac:dyDescent="0.3">
      <c r="A307" s="124"/>
      <c r="B307" s="125"/>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row>
    <row r="308" spans="1:33" ht="14.25" customHeight="1" x14ac:dyDescent="0.3">
      <c r="A308" s="124"/>
      <c r="B308" s="125"/>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row>
    <row r="309" spans="1:33" ht="14.25" customHeight="1" x14ac:dyDescent="0.3">
      <c r="A309" s="124"/>
      <c r="B309" s="125"/>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row>
    <row r="310" spans="1:33" ht="14.25" customHeight="1" x14ac:dyDescent="0.3">
      <c r="A310" s="124"/>
      <c r="B310" s="125"/>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row>
    <row r="311" spans="1:33" ht="14.25" customHeight="1" x14ac:dyDescent="0.3">
      <c r="A311" s="124"/>
      <c r="B311" s="125"/>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row>
    <row r="312" spans="1:33" ht="14.25" customHeight="1" x14ac:dyDescent="0.3">
      <c r="A312" s="124"/>
      <c r="B312" s="125"/>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row>
    <row r="313" spans="1:33" ht="14.25" customHeight="1" x14ac:dyDescent="0.3">
      <c r="A313" s="124"/>
      <c r="B313" s="125"/>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row>
    <row r="314" spans="1:33" ht="14.25" customHeight="1" x14ac:dyDescent="0.3">
      <c r="A314" s="124"/>
      <c r="B314" s="125"/>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row>
    <row r="315" spans="1:33" ht="14.25" customHeight="1" x14ac:dyDescent="0.3">
      <c r="A315" s="124"/>
      <c r="B315" s="125"/>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row>
    <row r="316" spans="1:33" ht="14.25" customHeight="1" x14ac:dyDescent="0.3">
      <c r="A316" s="124"/>
      <c r="B316" s="125"/>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row>
    <row r="317" spans="1:33" ht="14.25" customHeight="1" x14ac:dyDescent="0.3">
      <c r="A317" s="124"/>
      <c r="B317" s="125"/>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row>
    <row r="318" spans="1:33" ht="14.25" customHeight="1" x14ac:dyDescent="0.3">
      <c r="A318" s="124"/>
      <c r="B318" s="125"/>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row>
    <row r="319" spans="1:33" ht="14.25" customHeight="1" x14ac:dyDescent="0.3">
      <c r="A319" s="124"/>
      <c r="B319" s="125"/>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row>
    <row r="320" spans="1:33" ht="14.25" customHeight="1" x14ac:dyDescent="0.3">
      <c r="A320" s="124"/>
      <c r="B320" s="125"/>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row>
    <row r="321" spans="1:33" ht="14.25" customHeight="1" x14ac:dyDescent="0.3">
      <c r="A321" s="124"/>
      <c r="B321" s="125"/>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row>
    <row r="322" spans="1:33" ht="14.25" customHeight="1" x14ac:dyDescent="0.3">
      <c r="A322" s="124"/>
      <c r="B322" s="125"/>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row>
    <row r="323" spans="1:33" ht="14.25" customHeight="1" x14ac:dyDescent="0.3">
      <c r="A323" s="124"/>
      <c r="B323" s="125"/>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row>
    <row r="324" spans="1:33" ht="14.25" customHeight="1" x14ac:dyDescent="0.3">
      <c r="A324" s="124"/>
      <c r="B324" s="125"/>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row>
    <row r="325" spans="1:33" ht="14.25" customHeight="1" x14ac:dyDescent="0.3">
      <c r="A325" s="124"/>
      <c r="B325" s="125"/>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row>
    <row r="326" spans="1:33" ht="14.25" customHeight="1" x14ac:dyDescent="0.3">
      <c r="A326" s="124"/>
      <c r="B326" s="125"/>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row>
    <row r="327" spans="1:33" ht="14.25" customHeight="1" x14ac:dyDescent="0.3">
      <c r="A327" s="124"/>
      <c r="B327" s="125"/>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row>
    <row r="328" spans="1:33" ht="14.25" customHeight="1" x14ac:dyDescent="0.3">
      <c r="A328" s="124"/>
      <c r="B328" s="125"/>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row>
    <row r="329" spans="1:33" ht="14.25" customHeight="1" x14ac:dyDescent="0.3">
      <c r="A329" s="124"/>
      <c r="B329" s="125"/>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row>
    <row r="330" spans="1:33" ht="14.25" customHeight="1" x14ac:dyDescent="0.3">
      <c r="A330" s="124"/>
      <c r="B330" s="125"/>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row>
    <row r="331" spans="1:33" ht="14.25" customHeight="1" x14ac:dyDescent="0.3">
      <c r="A331" s="124"/>
      <c r="B331" s="125"/>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row>
    <row r="332" spans="1:33" ht="14.25" customHeight="1" x14ac:dyDescent="0.3">
      <c r="A332" s="124"/>
      <c r="B332" s="125"/>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row>
    <row r="333" spans="1:33" ht="14.25" customHeight="1" x14ac:dyDescent="0.3">
      <c r="A333" s="124"/>
      <c r="B333" s="125"/>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row>
    <row r="334" spans="1:33" ht="14.25" customHeight="1" x14ac:dyDescent="0.3">
      <c r="A334" s="124"/>
      <c r="B334" s="125"/>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row>
    <row r="335" spans="1:33" ht="14.25" customHeight="1" x14ac:dyDescent="0.3">
      <c r="A335" s="124"/>
      <c r="B335" s="125"/>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row>
    <row r="336" spans="1:33" ht="14.25" customHeight="1" x14ac:dyDescent="0.3">
      <c r="A336" s="124"/>
      <c r="B336" s="125"/>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row>
    <row r="337" spans="1:33" ht="14.25" customHeight="1" x14ac:dyDescent="0.3">
      <c r="A337" s="124"/>
      <c r="B337" s="125"/>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row>
    <row r="338" spans="1:33" ht="14.25" customHeight="1" x14ac:dyDescent="0.3">
      <c r="A338" s="124"/>
      <c r="B338" s="125"/>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row>
    <row r="339" spans="1:33" ht="14.25" customHeight="1" x14ac:dyDescent="0.3">
      <c r="A339" s="124"/>
      <c r="B339" s="125"/>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row>
    <row r="340" spans="1:33" ht="14.25" customHeight="1" x14ac:dyDescent="0.3">
      <c r="A340" s="124"/>
      <c r="B340" s="125"/>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row>
    <row r="341" spans="1:33" ht="14.25" customHeight="1" x14ac:dyDescent="0.3">
      <c r="A341" s="124"/>
      <c r="B341" s="125"/>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row>
    <row r="342" spans="1:33" ht="14.25" customHeight="1" x14ac:dyDescent="0.3">
      <c r="A342" s="124"/>
      <c r="B342" s="125"/>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row>
    <row r="343" spans="1:33" ht="14.25" customHeight="1" x14ac:dyDescent="0.3">
      <c r="A343" s="124"/>
      <c r="B343" s="125"/>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row>
    <row r="344" spans="1:33" ht="14.25" customHeight="1" x14ac:dyDescent="0.3">
      <c r="A344" s="124"/>
      <c r="B344" s="125"/>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row>
    <row r="345" spans="1:33" ht="14.25" customHeight="1" x14ac:dyDescent="0.3">
      <c r="A345" s="124"/>
      <c r="B345" s="125"/>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row>
    <row r="346" spans="1:33" ht="14.25" customHeight="1" x14ac:dyDescent="0.3">
      <c r="A346" s="124"/>
      <c r="B346" s="125"/>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row>
    <row r="347" spans="1:33" ht="14.25" customHeight="1" x14ac:dyDescent="0.3">
      <c r="A347" s="124"/>
      <c r="B347" s="125"/>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row>
    <row r="348" spans="1:33" ht="14.25" customHeight="1" x14ac:dyDescent="0.3">
      <c r="A348" s="124"/>
      <c r="B348" s="125"/>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row>
    <row r="349" spans="1:33" ht="14.25" customHeight="1" x14ac:dyDescent="0.3">
      <c r="A349" s="124"/>
      <c r="B349" s="125"/>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row>
    <row r="350" spans="1:33" ht="14.25" customHeight="1" x14ac:dyDescent="0.3">
      <c r="A350" s="124"/>
      <c r="B350" s="125"/>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row>
    <row r="351" spans="1:33" ht="14.25" customHeight="1" x14ac:dyDescent="0.3">
      <c r="A351" s="124"/>
      <c r="B351" s="125"/>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row>
    <row r="352" spans="1:33" ht="14.25" customHeight="1" x14ac:dyDescent="0.3">
      <c r="A352" s="124"/>
      <c r="B352" s="125"/>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row>
    <row r="353" spans="1:33" ht="14.25" customHeight="1" x14ac:dyDescent="0.3">
      <c r="A353" s="124"/>
      <c r="B353" s="125"/>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row>
    <row r="354" spans="1:33" ht="14.25" customHeight="1" x14ac:dyDescent="0.3">
      <c r="A354" s="124"/>
      <c r="B354" s="125"/>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row>
    <row r="355" spans="1:33" ht="14.25" customHeight="1" x14ac:dyDescent="0.3">
      <c r="A355" s="124"/>
      <c r="B355" s="125"/>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row>
    <row r="356" spans="1:33" ht="14.25" customHeight="1" x14ac:dyDescent="0.3">
      <c r="A356" s="124"/>
      <c r="B356" s="125"/>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row>
    <row r="357" spans="1:33" ht="14.25" customHeight="1" x14ac:dyDescent="0.3">
      <c r="A357" s="124"/>
      <c r="B357" s="125"/>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row>
    <row r="358" spans="1:33" ht="14.25" customHeight="1" x14ac:dyDescent="0.3">
      <c r="A358" s="124"/>
      <c r="B358" s="125"/>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row>
    <row r="359" spans="1:33" ht="14.25" customHeight="1" x14ac:dyDescent="0.3">
      <c r="A359" s="124"/>
      <c r="B359" s="125"/>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row>
    <row r="360" spans="1:33" ht="14.25" customHeight="1" x14ac:dyDescent="0.3">
      <c r="A360" s="124"/>
      <c r="B360" s="125"/>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row>
    <row r="361" spans="1:33" ht="14.25" customHeight="1" x14ac:dyDescent="0.3">
      <c r="A361" s="124"/>
      <c r="B361" s="125"/>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row>
    <row r="362" spans="1:33" ht="14.25" customHeight="1" x14ac:dyDescent="0.3">
      <c r="A362" s="124"/>
      <c r="B362" s="125"/>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row>
    <row r="363" spans="1:33" ht="14.25" customHeight="1" x14ac:dyDescent="0.3">
      <c r="A363" s="124"/>
      <c r="B363" s="125"/>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row>
    <row r="364" spans="1:33" ht="14.25" customHeight="1" x14ac:dyDescent="0.3">
      <c r="A364" s="124"/>
      <c r="B364" s="125"/>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row>
    <row r="365" spans="1:33" ht="14.25" customHeight="1" x14ac:dyDescent="0.3">
      <c r="A365" s="124"/>
      <c r="B365" s="125"/>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row>
    <row r="366" spans="1:33" ht="14.25" customHeight="1" x14ac:dyDescent="0.3">
      <c r="A366" s="124"/>
      <c r="B366" s="125"/>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row>
    <row r="367" spans="1:33" ht="14.25" customHeight="1" x14ac:dyDescent="0.3">
      <c r="A367" s="124"/>
      <c r="B367" s="125"/>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row>
    <row r="368" spans="1:33" ht="14.25" customHeight="1" x14ac:dyDescent="0.3">
      <c r="A368" s="124"/>
      <c r="B368" s="125"/>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row>
    <row r="369" spans="1:33" ht="14.25" customHeight="1" x14ac:dyDescent="0.3">
      <c r="A369" s="124"/>
      <c r="B369" s="125"/>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row>
    <row r="370" spans="1:33" ht="14.25" customHeight="1" x14ac:dyDescent="0.3">
      <c r="A370" s="124"/>
      <c r="B370" s="125"/>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row>
    <row r="371" spans="1:33" ht="14.25" customHeight="1" x14ac:dyDescent="0.3">
      <c r="A371" s="124"/>
      <c r="B371" s="125"/>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row>
    <row r="372" spans="1:33" ht="14.25" customHeight="1" x14ac:dyDescent="0.3">
      <c r="A372" s="124"/>
      <c r="B372" s="125"/>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row>
    <row r="373" spans="1:33" ht="14.25" customHeight="1" x14ac:dyDescent="0.3">
      <c r="A373" s="124"/>
      <c r="B373" s="125"/>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row>
    <row r="374" spans="1:33" ht="14.25" customHeight="1" x14ac:dyDescent="0.3">
      <c r="A374" s="124"/>
      <c r="B374" s="125"/>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row>
    <row r="375" spans="1:33" ht="14.25" customHeight="1" x14ac:dyDescent="0.3">
      <c r="A375" s="124"/>
      <c r="B375" s="125"/>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row>
    <row r="376" spans="1:33" ht="14.25" customHeight="1" x14ac:dyDescent="0.3">
      <c r="A376" s="124"/>
      <c r="B376" s="125"/>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row>
    <row r="377" spans="1:33" ht="14.25" customHeight="1" x14ac:dyDescent="0.3">
      <c r="A377" s="124"/>
      <c r="B377" s="125"/>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row>
    <row r="378" spans="1:33" ht="14.25" customHeight="1" x14ac:dyDescent="0.3">
      <c r="A378" s="124"/>
      <c r="B378" s="125"/>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row>
    <row r="379" spans="1:33" ht="14.25" customHeight="1" x14ac:dyDescent="0.3">
      <c r="A379" s="124"/>
      <c r="B379" s="125"/>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row>
    <row r="380" spans="1:33" ht="14.25" customHeight="1" x14ac:dyDescent="0.3">
      <c r="A380" s="124"/>
      <c r="B380" s="125"/>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row>
    <row r="381" spans="1:33" ht="14.25" customHeight="1" x14ac:dyDescent="0.3">
      <c r="A381" s="124"/>
      <c r="B381" s="125"/>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row>
    <row r="382" spans="1:33" ht="14.25" customHeight="1" x14ac:dyDescent="0.3">
      <c r="A382" s="124"/>
      <c r="B382" s="125"/>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row>
    <row r="383" spans="1:33" ht="14.25" customHeight="1" x14ac:dyDescent="0.3">
      <c r="A383" s="124"/>
      <c r="B383" s="125"/>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row>
    <row r="384" spans="1:33" ht="14.25" customHeight="1" x14ac:dyDescent="0.3">
      <c r="A384" s="124"/>
      <c r="B384" s="125"/>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row>
    <row r="385" spans="1:33" ht="14.25" customHeight="1" x14ac:dyDescent="0.3">
      <c r="A385" s="124"/>
      <c r="B385" s="125"/>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row>
    <row r="386" spans="1:33" ht="14.25" customHeight="1" x14ac:dyDescent="0.3">
      <c r="A386" s="124"/>
      <c r="B386" s="125"/>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row>
    <row r="387" spans="1:33" ht="14.25" customHeight="1" x14ac:dyDescent="0.3">
      <c r="A387" s="124"/>
      <c r="B387" s="125"/>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row>
    <row r="388" spans="1:33" ht="14.25" customHeight="1" x14ac:dyDescent="0.3">
      <c r="A388" s="124"/>
      <c r="B388" s="125"/>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row>
    <row r="389" spans="1:33" ht="14.25" customHeight="1" x14ac:dyDescent="0.3">
      <c r="A389" s="124"/>
      <c r="B389" s="125"/>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row>
    <row r="390" spans="1:33" ht="14.25" customHeight="1" x14ac:dyDescent="0.3">
      <c r="A390" s="124"/>
      <c r="B390" s="125"/>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row>
    <row r="391" spans="1:33" ht="14.25" customHeight="1" x14ac:dyDescent="0.3">
      <c r="A391" s="124"/>
      <c r="B391" s="125"/>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row>
    <row r="392" spans="1:33" ht="14.25" customHeight="1" x14ac:dyDescent="0.3">
      <c r="A392" s="124"/>
      <c r="B392" s="125"/>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row>
    <row r="393" spans="1:33" ht="14.25" customHeight="1" x14ac:dyDescent="0.3">
      <c r="A393" s="124"/>
      <c r="B393" s="125"/>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row>
    <row r="394" spans="1:33" ht="14.25" customHeight="1" x14ac:dyDescent="0.3">
      <c r="A394" s="124"/>
      <c r="B394" s="125"/>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row>
    <row r="395" spans="1:33" ht="14.25" customHeight="1" x14ac:dyDescent="0.3">
      <c r="A395" s="124"/>
      <c r="B395" s="125"/>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row>
    <row r="396" spans="1:33" ht="14.25" customHeight="1" x14ac:dyDescent="0.3">
      <c r="A396" s="124"/>
      <c r="B396" s="125"/>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row>
    <row r="397" spans="1:33" ht="14.25" customHeight="1" x14ac:dyDescent="0.3">
      <c r="A397" s="124"/>
      <c r="B397" s="125"/>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row>
    <row r="398" spans="1:33" ht="14.25" customHeight="1" x14ac:dyDescent="0.3">
      <c r="A398" s="124"/>
      <c r="B398" s="125"/>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row>
    <row r="399" spans="1:33" ht="14.25" customHeight="1" x14ac:dyDescent="0.3">
      <c r="A399" s="124"/>
      <c r="B399" s="125"/>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row>
    <row r="400" spans="1:33" ht="14.25" customHeight="1" x14ac:dyDescent="0.3">
      <c r="A400" s="124"/>
      <c r="B400" s="125"/>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row>
    <row r="401" spans="1:33" ht="14.25" customHeight="1" x14ac:dyDescent="0.3">
      <c r="A401" s="124"/>
      <c r="B401" s="125"/>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row>
    <row r="402" spans="1:33" ht="14.25" customHeight="1" x14ac:dyDescent="0.3">
      <c r="A402" s="124"/>
      <c r="B402" s="125"/>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row>
    <row r="403" spans="1:33" ht="14.25" customHeight="1" x14ac:dyDescent="0.3">
      <c r="A403" s="124"/>
      <c r="B403" s="125"/>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row>
    <row r="404" spans="1:33" ht="14.25" customHeight="1" x14ac:dyDescent="0.3">
      <c r="A404" s="124"/>
      <c r="B404" s="125"/>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row>
    <row r="405" spans="1:33" ht="14.25" customHeight="1" x14ac:dyDescent="0.3">
      <c r="A405" s="124"/>
      <c r="B405" s="125"/>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row>
    <row r="406" spans="1:33" ht="14.25" customHeight="1" x14ac:dyDescent="0.3">
      <c r="A406" s="124"/>
      <c r="B406" s="125"/>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row>
    <row r="407" spans="1:33" ht="14.25" customHeight="1" x14ac:dyDescent="0.3">
      <c r="A407" s="124"/>
      <c r="B407" s="125"/>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row>
    <row r="408" spans="1:33" ht="14.25" customHeight="1" x14ac:dyDescent="0.3">
      <c r="A408" s="124"/>
      <c r="B408" s="125"/>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row>
    <row r="409" spans="1:33" ht="14.25" customHeight="1" x14ac:dyDescent="0.3">
      <c r="A409" s="124"/>
      <c r="B409" s="125"/>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row>
    <row r="410" spans="1:33" ht="14.25" customHeight="1" x14ac:dyDescent="0.3">
      <c r="A410" s="124"/>
      <c r="B410" s="125"/>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row>
    <row r="411" spans="1:33" ht="14.25" customHeight="1" x14ac:dyDescent="0.3">
      <c r="A411" s="124"/>
      <c r="B411" s="125"/>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row>
    <row r="412" spans="1:33" ht="14.25" customHeight="1" x14ac:dyDescent="0.3">
      <c r="A412" s="124"/>
      <c r="B412" s="125"/>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row>
    <row r="413" spans="1:33" ht="14.25" customHeight="1" x14ac:dyDescent="0.3">
      <c r="A413" s="124"/>
      <c r="B413" s="125"/>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row>
    <row r="414" spans="1:33" ht="14.25" customHeight="1" x14ac:dyDescent="0.3">
      <c r="A414" s="124"/>
      <c r="B414" s="125"/>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row>
    <row r="415" spans="1:33" ht="14.25" customHeight="1" x14ac:dyDescent="0.3">
      <c r="A415" s="124"/>
      <c r="B415" s="125"/>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row>
    <row r="416" spans="1:33" ht="14.25" customHeight="1" x14ac:dyDescent="0.3">
      <c r="A416" s="124"/>
      <c r="B416" s="125"/>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row>
    <row r="417" spans="1:33" ht="14.25" customHeight="1" x14ac:dyDescent="0.3">
      <c r="A417" s="124"/>
      <c r="B417" s="125"/>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row>
    <row r="418" spans="1:33" ht="14.25" customHeight="1" x14ac:dyDescent="0.3">
      <c r="A418" s="124"/>
      <c r="B418" s="125"/>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row>
    <row r="419" spans="1:33" ht="14.25" customHeight="1" x14ac:dyDescent="0.3">
      <c r="A419" s="124"/>
      <c r="B419" s="125"/>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row>
    <row r="420" spans="1:33" ht="14.25" customHeight="1" x14ac:dyDescent="0.3">
      <c r="A420" s="124"/>
      <c r="B420" s="125"/>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row>
    <row r="421" spans="1:33" ht="14.25" customHeight="1" x14ac:dyDescent="0.3">
      <c r="A421" s="124"/>
      <c r="B421" s="125"/>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row>
    <row r="422" spans="1:33" ht="14.25" customHeight="1" x14ac:dyDescent="0.3">
      <c r="A422" s="124"/>
      <c r="B422" s="125"/>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row>
    <row r="423" spans="1:33" ht="14.25" customHeight="1" x14ac:dyDescent="0.3">
      <c r="A423" s="124"/>
      <c r="B423" s="125"/>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row>
    <row r="424" spans="1:33" ht="14.25" customHeight="1" x14ac:dyDescent="0.3">
      <c r="A424" s="124"/>
      <c r="B424" s="125"/>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row>
    <row r="425" spans="1:33" ht="14.25" customHeight="1" x14ac:dyDescent="0.3">
      <c r="A425" s="124"/>
      <c r="B425" s="125"/>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row>
    <row r="426" spans="1:33" ht="14.25" customHeight="1" x14ac:dyDescent="0.3">
      <c r="A426" s="124"/>
      <c r="B426" s="125"/>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row>
    <row r="427" spans="1:33" ht="14.25" customHeight="1" x14ac:dyDescent="0.3">
      <c r="A427" s="124"/>
      <c r="B427" s="125"/>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row>
    <row r="428" spans="1:33" ht="14.25" customHeight="1" x14ac:dyDescent="0.3">
      <c r="A428" s="124"/>
      <c r="B428" s="125"/>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row>
    <row r="429" spans="1:33" ht="14.25" customHeight="1" x14ac:dyDescent="0.3">
      <c r="A429" s="124"/>
      <c r="B429" s="125"/>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row>
    <row r="430" spans="1:33" ht="14.25" customHeight="1" x14ac:dyDescent="0.3">
      <c r="A430" s="124"/>
      <c r="B430" s="125"/>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row>
    <row r="431" spans="1:33" ht="14.25" customHeight="1" x14ac:dyDescent="0.3">
      <c r="A431" s="124"/>
      <c r="B431" s="125"/>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row>
    <row r="432" spans="1:33" ht="14.25" customHeight="1" x14ac:dyDescent="0.3">
      <c r="A432" s="124"/>
      <c r="B432" s="125"/>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row>
    <row r="433" spans="1:33" ht="14.25" customHeight="1" x14ac:dyDescent="0.3">
      <c r="A433" s="124"/>
      <c r="B433" s="125"/>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row>
    <row r="434" spans="1:33" ht="14.25" customHeight="1" x14ac:dyDescent="0.3">
      <c r="A434" s="124"/>
      <c r="B434" s="125"/>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row>
    <row r="435" spans="1:33" ht="14.25" customHeight="1" x14ac:dyDescent="0.3">
      <c r="A435" s="124"/>
      <c r="B435" s="125"/>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row>
    <row r="436" spans="1:33" ht="14.25" customHeight="1" x14ac:dyDescent="0.3">
      <c r="A436" s="124"/>
      <c r="B436" s="125"/>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row>
    <row r="437" spans="1:33" ht="14.25" customHeight="1" x14ac:dyDescent="0.3">
      <c r="A437" s="124"/>
      <c r="B437" s="125"/>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row>
    <row r="438" spans="1:33" ht="14.25" customHeight="1" x14ac:dyDescent="0.3">
      <c r="A438" s="124"/>
      <c r="B438" s="125"/>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row>
    <row r="439" spans="1:33" ht="14.25" customHeight="1" x14ac:dyDescent="0.3">
      <c r="A439" s="124"/>
      <c r="B439" s="125"/>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row>
    <row r="440" spans="1:33" ht="14.25" customHeight="1" x14ac:dyDescent="0.3">
      <c r="A440" s="124"/>
      <c r="B440" s="125"/>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row>
    <row r="441" spans="1:33" ht="14.25" customHeight="1" x14ac:dyDescent="0.3">
      <c r="A441" s="124"/>
      <c r="B441" s="125"/>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row>
    <row r="442" spans="1:33" ht="14.25" customHeight="1" x14ac:dyDescent="0.3">
      <c r="A442" s="124"/>
      <c r="B442" s="125"/>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row>
    <row r="443" spans="1:33" ht="14.25" customHeight="1" x14ac:dyDescent="0.3">
      <c r="A443" s="124"/>
      <c r="B443" s="125"/>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row>
    <row r="444" spans="1:33" ht="14.25" customHeight="1" x14ac:dyDescent="0.3">
      <c r="A444" s="124"/>
      <c r="B444" s="125"/>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row>
    <row r="445" spans="1:33" ht="14.25" customHeight="1" x14ac:dyDescent="0.3">
      <c r="A445" s="124"/>
      <c r="B445" s="125"/>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row>
    <row r="446" spans="1:33" ht="14.25" customHeight="1" x14ac:dyDescent="0.3">
      <c r="A446" s="124"/>
      <c r="B446" s="125"/>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row>
    <row r="447" spans="1:33" ht="14.25" customHeight="1" x14ac:dyDescent="0.3">
      <c r="A447" s="124"/>
      <c r="B447" s="125"/>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row>
    <row r="448" spans="1:33" ht="14.25" customHeight="1" x14ac:dyDescent="0.3">
      <c r="A448" s="124"/>
      <c r="B448" s="125"/>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row>
    <row r="449" spans="1:33" ht="14.25" customHeight="1" x14ac:dyDescent="0.3">
      <c r="A449" s="124"/>
      <c r="B449" s="125"/>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row>
    <row r="450" spans="1:33" ht="14.25" customHeight="1" x14ac:dyDescent="0.3">
      <c r="A450" s="124"/>
      <c r="B450" s="125"/>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row>
    <row r="451" spans="1:33" ht="14.25" customHeight="1" x14ac:dyDescent="0.3">
      <c r="A451" s="124"/>
      <c r="B451" s="125"/>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row>
    <row r="452" spans="1:33" ht="14.25" customHeight="1" x14ac:dyDescent="0.3">
      <c r="A452" s="124"/>
      <c r="B452" s="125"/>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row>
    <row r="453" spans="1:33" ht="14.25" customHeight="1" x14ac:dyDescent="0.3">
      <c r="A453" s="124"/>
      <c r="B453" s="125"/>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row>
    <row r="454" spans="1:33" ht="14.25" customHeight="1" x14ac:dyDescent="0.3">
      <c r="A454" s="124"/>
      <c r="B454" s="125"/>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row>
    <row r="455" spans="1:33" ht="14.25" customHeight="1" x14ac:dyDescent="0.3">
      <c r="A455" s="124"/>
      <c r="B455" s="125"/>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row>
    <row r="456" spans="1:33" ht="14.25" customHeight="1" x14ac:dyDescent="0.3">
      <c r="A456" s="124"/>
      <c r="B456" s="125"/>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row>
    <row r="457" spans="1:33" ht="14.25" customHeight="1" x14ac:dyDescent="0.3">
      <c r="A457" s="124"/>
      <c r="B457" s="125"/>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row>
    <row r="458" spans="1:33" ht="14.25" customHeight="1" x14ac:dyDescent="0.3">
      <c r="A458" s="124"/>
      <c r="B458" s="125"/>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row>
    <row r="459" spans="1:33" ht="14.25" customHeight="1" x14ac:dyDescent="0.3">
      <c r="A459" s="124"/>
      <c r="B459" s="125"/>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row>
    <row r="460" spans="1:33" ht="14.25" customHeight="1" x14ac:dyDescent="0.3">
      <c r="A460" s="124"/>
      <c r="B460" s="125"/>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row>
    <row r="461" spans="1:33" ht="14.25" customHeight="1" x14ac:dyDescent="0.3">
      <c r="A461" s="124"/>
      <c r="B461" s="125"/>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row>
    <row r="462" spans="1:33" ht="14.25" customHeight="1" x14ac:dyDescent="0.3">
      <c r="A462" s="124"/>
      <c r="B462" s="125"/>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row>
    <row r="463" spans="1:33" ht="14.25" customHeight="1" x14ac:dyDescent="0.3">
      <c r="A463" s="124"/>
      <c r="B463" s="125"/>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row>
    <row r="464" spans="1:33" ht="14.25" customHeight="1" x14ac:dyDescent="0.3">
      <c r="A464" s="124"/>
      <c r="B464" s="125"/>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row>
    <row r="465" spans="1:33" ht="14.25" customHeight="1" x14ac:dyDescent="0.3">
      <c r="A465" s="124"/>
      <c r="B465" s="125"/>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row>
    <row r="466" spans="1:33" ht="14.25" customHeight="1" x14ac:dyDescent="0.3">
      <c r="A466" s="124"/>
      <c r="B466" s="125"/>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row>
    <row r="467" spans="1:33" ht="14.25" customHeight="1" x14ac:dyDescent="0.3">
      <c r="A467" s="124"/>
      <c r="B467" s="125"/>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row>
    <row r="468" spans="1:33" ht="14.25" customHeight="1" x14ac:dyDescent="0.3">
      <c r="A468" s="124"/>
      <c r="B468" s="125"/>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row>
    <row r="469" spans="1:33" ht="14.25" customHeight="1" x14ac:dyDescent="0.3">
      <c r="A469" s="124"/>
      <c r="B469" s="125"/>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row>
    <row r="470" spans="1:33" ht="14.25" customHeight="1" x14ac:dyDescent="0.3">
      <c r="A470" s="124"/>
      <c r="B470" s="125"/>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row>
    <row r="471" spans="1:33" ht="14.25" customHeight="1" x14ac:dyDescent="0.3">
      <c r="A471" s="124"/>
      <c r="B471" s="125"/>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row>
    <row r="472" spans="1:33" ht="14.25" customHeight="1" x14ac:dyDescent="0.3">
      <c r="A472" s="124"/>
      <c r="B472" s="125"/>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row>
    <row r="473" spans="1:33" ht="14.25" customHeight="1" x14ac:dyDescent="0.3">
      <c r="A473" s="124"/>
      <c r="B473" s="125"/>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row>
    <row r="474" spans="1:33" ht="14.25" customHeight="1" x14ac:dyDescent="0.3">
      <c r="A474" s="124"/>
      <c r="B474" s="125"/>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row>
    <row r="475" spans="1:33" ht="14.25" customHeight="1" x14ac:dyDescent="0.3">
      <c r="A475" s="124"/>
      <c r="B475" s="125"/>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row>
    <row r="476" spans="1:33" ht="14.25" customHeight="1" x14ac:dyDescent="0.3">
      <c r="A476" s="124"/>
      <c r="B476" s="125"/>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row>
    <row r="477" spans="1:33" ht="14.25" customHeight="1" x14ac:dyDescent="0.3">
      <c r="A477" s="124"/>
      <c r="B477" s="125"/>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row>
    <row r="478" spans="1:33" ht="14.25" customHeight="1" x14ac:dyDescent="0.3">
      <c r="A478" s="124"/>
      <c r="B478" s="125"/>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row>
    <row r="479" spans="1:33" ht="14.25" customHeight="1" x14ac:dyDescent="0.3">
      <c r="A479" s="124"/>
      <c r="B479" s="125"/>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row>
    <row r="480" spans="1:33" ht="14.25" customHeight="1" x14ac:dyDescent="0.3">
      <c r="A480" s="124"/>
      <c r="B480" s="125"/>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row>
    <row r="481" spans="1:33" ht="14.25" customHeight="1" x14ac:dyDescent="0.3">
      <c r="A481" s="124"/>
      <c r="B481" s="125"/>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row>
    <row r="482" spans="1:33" ht="14.25" customHeight="1" x14ac:dyDescent="0.3">
      <c r="A482" s="124"/>
      <c r="B482" s="125"/>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row>
    <row r="483" spans="1:33" ht="14.25" customHeight="1" x14ac:dyDescent="0.3">
      <c r="A483" s="124"/>
      <c r="B483" s="125"/>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row>
    <row r="484" spans="1:33" ht="14.25" customHeight="1" x14ac:dyDescent="0.3">
      <c r="A484" s="124"/>
      <c r="B484" s="125"/>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row>
    <row r="485" spans="1:33" ht="14.25" customHeight="1" x14ac:dyDescent="0.3">
      <c r="A485" s="124"/>
      <c r="B485" s="125"/>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row>
    <row r="486" spans="1:33" ht="14.25" customHeight="1" x14ac:dyDescent="0.3">
      <c r="A486" s="124"/>
      <c r="B486" s="125"/>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row>
    <row r="487" spans="1:33" ht="14.25" customHeight="1" x14ac:dyDescent="0.3">
      <c r="A487" s="124"/>
      <c r="B487" s="125"/>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row>
    <row r="488" spans="1:33" ht="14.25" customHeight="1" x14ac:dyDescent="0.3">
      <c r="A488" s="124"/>
      <c r="B488" s="125"/>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row>
    <row r="489" spans="1:33" ht="14.25" customHeight="1" x14ac:dyDescent="0.3">
      <c r="A489" s="124"/>
      <c r="B489" s="125"/>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row>
    <row r="490" spans="1:33" ht="14.25" customHeight="1" x14ac:dyDescent="0.3">
      <c r="A490" s="124"/>
      <c r="B490" s="125"/>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row>
    <row r="491" spans="1:33" ht="14.25" customHeight="1" x14ac:dyDescent="0.3">
      <c r="A491" s="124"/>
      <c r="B491" s="125"/>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row>
    <row r="492" spans="1:33" ht="14.25" customHeight="1" x14ac:dyDescent="0.3">
      <c r="A492" s="124"/>
      <c r="B492" s="125"/>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row>
    <row r="493" spans="1:33" ht="14.25" customHeight="1" x14ac:dyDescent="0.3">
      <c r="A493" s="124"/>
      <c r="B493" s="125"/>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row>
    <row r="494" spans="1:33" ht="14.25" customHeight="1" x14ac:dyDescent="0.3">
      <c r="A494" s="124"/>
      <c r="B494" s="125"/>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row>
    <row r="495" spans="1:33" ht="14.25" customHeight="1" x14ac:dyDescent="0.3">
      <c r="A495" s="124"/>
      <c r="B495" s="125"/>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row>
    <row r="496" spans="1:33" ht="14.25" customHeight="1" x14ac:dyDescent="0.3">
      <c r="A496" s="124"/>
      <c r="B496" s="125"/>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row>
    <row r="497" spans="1:33" ht="14.25" customHeight="1" x14ac:dyDescent="0.3">
      <c r="A497" s="124"/>
      <c r="B497" s="125"/>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row>
    <row r="498" spans="1:33" ht="14.25" customHeight="1" x14ac:dyDescent="0.3">
      <c r="A498" s="124"/>
      <c r="B498" s="125"/>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row>
    <row r="499" spans="1:33" ht="14.25" customHeight="1" x14ac:dyDescent="0.3">
      <c r="A499" s="124"/>
      <c r="B499" s="125"/>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row>
    <row r="500" spans="1:33" ht="14.25" customHeight="1" x14ac:dyDescent="0.3">
      <c r="A500" s="124"/>
      <c r="B500" s="125"/>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row>
    <row r="501" spans="1:33" ht="14.25" customHeight="1" x14ac:dyDescent="0.3">
      <c r="A501" s="124"/>
      <c r="B501" s="125"/>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row>
    <row r="502" spans="1:33" ht="14.25" customHeight="1" x14ac:dyDescent="0.3">
      <c r="A502" s="124"/>
      <c r="B502" s="125"/>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row>
    <row r="503" spans="1:33" ht="14.25" customHeight="1" x14ac:dyDescent="0.3">
      <c r="A503" s="124"/>
      <c r="B503" s="125"/>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row>
    <row r="504" spans="1:33" ht="14.25" customHeight="1" x14ac:dyDescent="0.3">
      <c r="A504" s="124"/>
      <c r="B504" s="125"/>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row>
    <row r="505" spans="1:33" ht="14.25" customHeight="1" x14ac:dyDescent="0.3">
      <c r="A505" s="124"/>
      <c r="B505" s="125"/>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row>
    <row r="506" spans="1:33" ht="14.25" customHeight="1" x14ac:dyDescent="0.3">
      <c r="A506" s="124"/>
      <c r="B506" s="125"/>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row>
    <row r="507" spans="1:33" ht="14.25" customHeight="1" x14ac:dyDescent="0.3">
      <c r="A507" s="124"/>
      <c r="B507" s="125"/>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row>
    <row r="508" spans="1:33" ht="14.25" customHeight="1" x14ac:dyDescent="0.3">
      <c r="A508" s="124"/>
      <c r="B508" s="125"/>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row>
    <row r="509" spans="1:33" ht="14.25" customHeight="1" x14ac:dyDescent="0.3">
      <c r="A509" s="124"/>
      <c r="B509" s="125"/>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row>
    <row r="510" spans="1:33" ht="14.25" customHeight="1" x14ac:dyDescent="0.3">
      <c r="A510" s="124"/>
      <c r="B510" s="125"/>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row>
    <row r="511" spans="1:33" ht="14.25" customHeight="1" x14ac:dyDescent="0.3">
      <c r="A511" s="124"/>
      <c r="B511" s="125"/>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row>
    <row r="512" spans="1:33" ht="14.25" customHeight="1" x14ac:dyDescent="0.3">
      <c r="A512" s="124"/>
      <c r="B512" s="125"/>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row>
    <row r="513" spans="1:33" ht="14.25" customHeight="1" x14ac:dyDescent="0.3">
      <c r="A513" s="124"/>
      <c r="B513" s="125"/>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row>
    <row r="514" spans="1:33" ht="14.25" customHeight="1" x14ac:dyDescent="0.3">
      <c r="A514" s="124"/>
      <c r="B514" s="125"/>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row>
    <row r="515" spans="1:33" ht="14.25" customHeight="1" x14ac:dyDescent="0.3">
      <c r="A515" s="124"/>
      <c r="B515" s="125"/>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row>
    <row r="516" spans="1:33" ht="14.25" customHeight="1" x14ac:dyDescent="0.3">
      <c r="A516" s="124"/>
      <c r="B516" s="125"/>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row>
    <row r="517" spans="1:33" ht="14.25" customHeight="1" x14ac:dyDescent="0.3">
      <c r="A517" s="124"/>
      <c r="B517" s="125"/>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row>
    <row r="518" spans="1:33" ht="14.25" customHeight="1" x14ac:dyDescent="0.3">
      <c r="A518" s="124"/>
      <c r="B518" s="125"/>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row>
    <row r="519" spans="1:33" ht="14.25" customHeight="1" x14ac:dyDescent="0.3">
      <c r="A519" s="124"/>
      <c r="B519" s="125"/>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row>
    <row r="520" spans="1:33" ht="14.25" customHeight="1" x14ac:dyDescent="0.3">
      <c r="A520" s="124"/>
      <c r="B520" s="125"/>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row>
    <row r="521" spans="1:33" ht="14.25" customHeight="1" x14ac:dyDescent="0.3">
      <c r="A521" s="124"/>
      <c r="B521" s="125"/>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row>
    <row r="522" spans="1:33" ht="14.25" customHeight="1" x14ac:dyDescent="0.3">
      <c r="A522" s="124"/>
      <c r="B522" s="125"/>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row>
    <row r="523" spans="1:33" ht="14.25" customHeight="1" x14ac:dyDescent="0.3">
      <c r="A523" s="124"/>
      <c r="B523" s="125"/>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row>
    <row r="524" spans="1:33" ht="14.25" customHeight="1" x14ac:dyDescent="0.3">
      <c r="A524" s="124"/>
      <c r="B524" s="125"/>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row>
    <row r="525" spans="1:33" ht="14.25" customHeight="1" x14ac:dyDescent="0.3">
      <c r="A525" s="124"/>
      <c r="B525" s="125"/>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row>
    <row r="526" spans="1:33" ht="14.25" customHeight="1" x14ac:dyDescent="0.3">
      <c r="A526" s="124"/>
      <c r="B526" s="125"/>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row>
    <row r="527" spans="1:33" ht="14.25" customHeight="1" x14ac:dyDescent="0.3">
      <c r="A527" s="124"/>
      <c r="B527" s="125"/>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row>
    <row r="528" spans="1:33" ht="14.25" customHeight="1" x14ac:dyDescent="0.3">
      <c r="A528" s="124"/>
      <c r="B528" s="125"/>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row>
    <row r="529" spans="1:33" ht="14.25" customHeight="1" x14ac:dyDescent="0.3">
      <c r="A529" s="124"/>
      <c r="B529" s="125"/>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row>
    <row r="530" spans="1:33" ht="14.25" customHeight="1" x14ac:dyDescent="0.3">
      <c r="A530" s="124"/>
      <c r="B530" s="125"/>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row>
    <row r="531" spans="1:33" ht="14.25" customHeight="1" x14ac:dyDescent="0.3">
      <c r="A531" s="124"/>
      <c r="B531" s="125"/>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row>
    <row r="532" spans="1:33" ht="14.25" customHeight="1" x14ac:dyDescent="0.3">
      <c r="A532" s="124"/>
      <c r="B532" s="125"/>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row>
    <row r="533" spans="1:33" ht="14.25" customHeight="1" x14ac:dyDescent="0.3">
      <c r="A533" s="124"/>
      <c r="B533" s="125"/>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row>
    <row r="534" spans="1:33" ht="14.25" customHeight="1" x14ac:dyDescent="0.3">
      <c r="A534" s="124"/>
      <c r="B534" s="125"/>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row>
    <row r="535" spans="1:33" ht="14.25" customHeight="1" x14ac:dyDescent="0.3">
      <c r="A535" s="124"/>
      <c r="B535" s="125"/>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row>
    <row r="536" spans="1:33" ht="14.25" customHeight="1" x14ac:dyDescent="0.3">
      <c r="A536" s="124"/>
      <c r="B536" s="125"/>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row>
    <row r="537" spans="1:33" ht="14.25" customHeight="1" x14ac:dyDescent="0.3">
      <c r="A537" s="124"/>
      <c r="B537" s="125"/>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row>
    <row r="538" spans="1:33" ht="14.25" customHeight="1" x14ac:dyDescent="0.3">
      <c r="A538" s="124"/>
      <c r="B538" s="125"/>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row>
    <row r="539" spans="1:33" ht="14.25" customHeight="1" x14ac:dyDescent="0.3">
      <c r="A539" s="124"/>
      <c r="B539" s="125"/>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row>
    <row r="540" spans="1:33" ht="14.25" customHeight="1" x14ac:dyDescent="0.3">
      <c r="A540" s="124"/>
      <c r="B540" s="125"/>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row>
    <row r="541" spans="1:33" ht="14.25" customHeight="1" x14ac:dyDescent="0.3">
      <c r="A541" s="124"/>
      <c r="B541" s="125"/>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row>
    <row r="542" spans="1:33" ht="14.25" customHeight="1" x14ac:dyDescent="0.3">
      <c r="A542" s="124"/>
      <c r="B542" s="125"/>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row>
    <row r="543" spans="1:33" ht="14.25" customHeight="1" x14ac:dyDescent="0.3">
      <c r="A543" s="124"/>
      <c r="B543" s="125"/>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row>
    <row r="544" spans="1:33" ht="14.25" customHeight="1" x14ac:dyDescent="0.3">
      <c r="A544" s="124"/>
      <c r="B544" s="125"/>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row>
    <row r="545" spans="1:33" ht="14.25" customHeight="1" x14ac:dyDescent="0.3">
      <c r="A545" s="124"/>
      <c r="B545" s="125"/>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row>
    <row r="546" spans="1:33" ht="14.25" customHeight="1" x14ac:dyDescent="0.3">
      <c r="A546" s="124"/>
      <c r="B546" s="125"/>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row>
    <row r="547" spans="1:33" ht="14.25" customHeight="1" x14ac:dyDescent="0.3">
      <c r="A547" s="124"/>
      <c r="B547" s="125"/>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row>
    <row r="548" spans="1:33" ht="14.25" customHeight="1" x14ac:dyDescent="0.3">
      <c r="A548" s="124"/>
      <c r="B548" s="125"/>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row>
    <row r="549" spans="1:33" ht="14.25" customHeight="1" x14ac:dyDescent="0.3">
      <c r="A549" s="124"/>
      <c r="B549" s="125"/>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row>
    <row r="550" spans="1:33" ht="14.25" customHeight="1" x14ac:dyDescent="0.3">
      <c r="A550" s="124"/>
      <c r="B550" s="125"/>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row>
    <row r="551" spans="1:33" ht="14.25" customHeight="1" x14ac:dyDescent="0.3">
      <c r="A551" s="124"/>
      <c r="B551" s="125"/>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row>
    <row r="552" spans="1:33" ht="14.25" customHeight="1" x14ac:dyDescent="0.3">
      <c r="A552" s="124"/>
      <c r="B552" s="125"/>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row>
    <row r="553" spans="1:33" ht="14.25" customHeight="1" x14ac:dyDescent="0.3">
      <c r="A553" s="124"/>
      <c r="B553" s="125"/>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row>
    <row r="554" spans="1:33" ht="14.25" customHeight="1" x14ac:dyDescent="0.3">
      <c r="A554" s="124"/>
      <c r="B554" s="125"/>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row>
    <row r="555" spans="1:33" ht="14.25" customHeight="1" x14ac:dyDescent="0.3">
      <c r="A555" s="124"/>
      <c r="B555" s="125"/>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row>
    <row r="556" spans="1:33" ht="14.25" customHeight="1" x14ac:dyDescent="0.3">
      <c r="A556" s="124"/>
      <c r="B556" s="125"/>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row>
    <row r="557" spans="1:33" ht="14.25" customHeight="1" x14ac:dyDescent="0.3">
      <c r="A557" s="124"/>
      <c r="B557" s="125"/>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row>
    <row r="558" spans="1:33" ht="14.25" customHeight="1" x14ac:dyDescent="0.3">
      <c r="A558" s="124"/>
      <c r="B558" s="125"/>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row>
    <row r="559" spans="1:33" ht="14.25" customHeight="1" x14ac:dyDescent="0.3">
      <c r="A559" s="124"/>
      <c r="B559" s="125"/>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row>
    <row r="560" spans="1:33" ht="14.25" customHeight="1" x14ac:dyDescent="0.3">
      <c r="A560" s="124"/>
      <c r="B560" s="125"/>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row>
    <row r="561" spans="1:33" ht="14.25" customHeight="1" x14ac:dyDescent="0.3">
      <c r="A561" s="124"/>
      <c r="B561" s="125"/>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row>
    <row r="562" spans="1:33" ht="14.25" customHeight="1" x14ac:dyDescent="0.3">
      <c r="A562" s="124"/>
      <c r="B562" s="125"/>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row>
    <row r="563" spans="1:33" ht="14.25" customHeight="1" x14ac:dyDescent="0.3">
      <c r="A563" s="124"/>
      <c r="B563" s="125"/>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row>
    <row r="564" spans="1:33" ht="14.25" customHeight="1" x14ac:dyDescent="0.3">
      <c r="A564" s="124"/>
      <c r="B564" s="125"/>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row>
    <row r="565" spans="1:33" ht="14.25" customHeight="1" x14ac:dyDescent="0.3">
      <c r="A565" s="124"/>
      <c r="B565" s="125"/>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row>
    <row r="566" spans="1:33" ht="14.25" customHeight="1" x14ac:dyDescent="0.3">
      <c r="A566" s="124"/>
      <c r="B566" s="125"/>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row>
    <row r="567" spans="1:33" ht="14.25" customHeight="1" x14ac:dyDescent="0.3">
      <c r="A567" s="124"/>
      <c r="B567" s="125"/>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row>
    <row r="568" spans="1:33" ht="14.25" customHeight="1" x14ac:dyDescent="0.3">
      <c r="A568" s="124"/>
      <c r="B568" s="125"/>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row>
    <row r="569" spans="1:33" ht="14.25" customHeight="1" x14ac:dyDescent="0.3">
      <c r="A569" s="124"/>
      <c r="B569" s="125"/>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row>
    <row r="570" spans="1:33" ht="14.25" customHeight="1" x14ac:dyDescent="0.3">
      <c r="A570" s="124"/>
      <c r="B570" s="125"/>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row>
    <row r="571" spans="1:33" ht="14.25" customHeight="1" x14ac:dyDescent="0.3">
      <c r="A571" s="124"/>
      <c r="B571" s="125"/>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row>
    <row r="572" spans="1:33" ht="14.25" customHeight="1" x14ac:dyDescent="0.3">
      <c r="A572" s="124"/>
      <c r="B572" s="125"/>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row>
    <row r="573" spans="1:33" ht="14.25" customHeight="1" x14ac:dyDescent="0.3">
      <c r="A573" s="124"/>
      <c r="B573" s="125"/>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row>
    <row r="574" spans="1:33" ht="14.25" customHeight="1" x14ac:dyDescent="0.3">
      <c r="A574" s="124"/>
      <c r="B574" s="125"/>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row>
    <row r="575" spans="1:33" ht="14.25" customHeight="1" x14ac:dyDescent="0.3">
      <c r="A575" s="124"/>
      <c r="B575" s="125"/>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row>
    <row r="576" spans="1:33" ht="14.25" customHeight="1" x14ac:dyDescent="0.3">
      <c r="A576" s="124"/>
      <c r="B576" s="125"/>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row>
    <row r="577" spans="1:33" ht="14.25" customHeight="1" x14ac:dyDescent="0.3">
      <c r="A577" s="124"/>
      <c r="B577" s="125"/>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row>
    <row r="578" spans="1:33" ht="14.25" customHeight="1" x14ac:dyDescent="0.3">
      <c r="A578" s="124"/>
      <c r="B578" s="125"/>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row>
    <row r="579" spans="1:33" ht="14.25" customHeight="1" x14ac:dyDescent="0.3">
      <c r="A579" s="124"/>
      <c r="B579" s="125"/>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row>
    <row r="580" spans="1:33" ht="14.25" customHeight="1" x14ac:dyDescent="0.3">
      <c r="A580" s="124"/>
      <c r="B580" s="125"/>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row>
    <row r="581" spans="1:33" ht="14.25" customHeight="1" x14ac:dyDescent="0.3">
      <c r="A581" s="124"/>
      <c r="B581" s="125"/>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row>
    <row r="582" spans="1:33" ht="14.25" customHeight="1" x14ac:dyDescent="0.3">
      <c r="A582" s="124"/>
      <c r="B582" s="125"/>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row>
    <row r="583" spans="1:33" ht="14.25" customHeight="1" x14ac:dyDescent="0.3">
      <c r="A583" s="124"/>
      <c r="B583" s="125"/>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row>
    <row r="584" spans="1:33" ht="14.25" customHeight="1" x14ac:dyDescent="0.3">
      <c r="A584" s="124"/>
      <c r="B584" s="125"/>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row>
    <row r="585" spans="1:33" ht="14.25" customHeight="1" x14ac:dyDescent="0.3">
      <c r="A585" s="124"/>
      <c r="B585" s="125"/>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row>
    <row r="586" spans="1:33" ht="14.25" customHeight="1" x14ac:dyDescent="0.3">
      <c r="A586" s="124"/>
      <c r="B586" s="125"/>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row>
    <row r="587" spans="1:33" ht="14.25" customHeight="1" x14ac:dyDescent="0.3">
      <c r="A587" s="124"/>
      <c r="B587" s="125"/>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row>
    <row r="588" spans="1:33" ht="14.25" customHeight="1" x14ac:dyDescent="0.3">
      <c r="A588" s="124"/>
      <c r="B588" s="125"/>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row>
    <row r="589" spans="1:33" ht="14.25" customHeight="1" x14ac:dyDescent="0.3">
      <c r="A589" s="124"/>
      <c r="B589" s="125"/>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row>
    <row r="590" spans="1:33" ht="14.25" customHeight="1" x14ac:dyDescent="0.3">
      <c r="A590" s="124"/>
      <c r="B590" s="125"/>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row>
    <row r="591" spans="1:33" ht="14.25" customHeight="1" x14ac:dyDescent="0.3">
      <c r="A591" s="124"/>
      <c r="B591" s="125"/>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row>
    <row r="592" spans="1:33" ht="14.25" customHeight="1" x14ac:dyDescent="0.3">
      <c r="A592" s="124"/>
      <c r="B592" s="125"/>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row>
    <row r="593" spans="1:33" ht="14.25" customHeight="1" x14ac:dyDescent="0.3">
      <c r="A593" s="124"/>
      <c r="B593" s="125"/>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row>
    <row r="594" spans="1:33" ht="14.25" customHeight="1" x14ac:dyDescent="0.3">
      <c r="A594" s="124"/>
      <c r="B594" s="125"/>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row>
    <row r="595" spans="1:33" ht="14.25" customHeight="1" x14ac:dyDescent="0.3">
      <c r="A595" s="124"/>
      <c r="B595" s="125"/>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row>
    <row r="596" spans="1:33" ht="14.25" customHeight="1" x14ac:dyDescent="0.3">
      <c r="A596" s="124"/>
      <c r="B596" s="125"/>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row>
    <row r="597" spans="1:33" ht="14.25" customHeight="1" x14ac:dyDescent="0.3">
      <c r="A597" s="124"/>
      <c r="B597" s="125"/>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row>
    <row r="598" spans="1:33" ht="14.25" customHeight="1" x14ac:dyDescent="0.3">
      <c r="A598" s="124"/>
      <c r="B598" s="125"/>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row>
    <row r="599" spans="1:33" ht="14.25" customHeight="1" x14ac:dyDescent="0.3">
      <c r="A599" s="124"/>
      <c r="B599" s="125"/>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row>
    <row r="600" spans="1:33" ht="14.25" customHeight="1" x14ac:dyDescent="0.3">
      <c r="A600" s="124"/>
      <c r="B600" s="125"/>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row>
    <row r="601" spans="1:33" ht="14.25" customHeight="1" x14ac:dyDescent="0.3">
      <c r="A601" s="124"/>
      <c r="B601" s="125"/>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row>
    <row r="602" spans="1:33" ht="14.25" customHeight="1" x14ac:dyDescent="0.3">
      <c r="A602" s="124"/>
      <c r="B602" s="125"/>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row>
    <row r="603" spans="1:33" ht="14.25" customHeight="1" x14ac:dyDescent="0.3">
      <c r="A603" s="124"/>
      <c r="B603" s="125"/>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row>
    <row r="604" spans="1:33" ht="14.25" customHeight="1" x14ac:dyDescent="0.3">
      <c r="A604" s="124"/>
      <c r="B604" s="125"/>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row>
    <row r="605" spans="1:33" ht="14.25" customHeight="1" x14ac:dyDescent="0.3">
      <c r="A605" s="124"/>
      <c r="B605" s="125"/>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row>
    <row r="606" spans="1:33" ht="14.25" customHeight="1" x14ac:dyDescent="0.3">
      <c r="A606" s="124"/>
      <c r="B606" s="125"/>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row>
    <row r="607" spans="1:33" ht="14.25" customHeight="1" x14ac:dyDescent="0.3">
      <c r="A607" s="124"/>
      <c r="B607" s="125"/>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row>
    <row r="608" spans="1:33" ht="14.25" customHeight="1" x14ac:dyDescent="0.3">
      <c r="A608" s="124"/>
      <c r="B608" s="125"/>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row>
    <row r="609" spans="1:33" ht="14.25" customHeight="1" x14ac:dyDescent="0.3">
      <c r="A609" s="124"/>
      <c r="B609" s="125"/>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row>
    <row r="610" spans="1:33" ht="14.25" customHeight="1" x14ac:dyDescent="0.3">
      <c r="A610" s="124"/>
      <c r="B610" s="125"/>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row>
    <row r="611" spans="1:33" ht="14.25" customHeight="1" x14ac:dyDescent="0.3">
      <c r="A611" s="124"/>
      <c r="B611" s="125"/>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row>
    <row r="612" spans="1:33" ht="14.25" customHeight="1" x14ac:dyDescent="0.3">
      <c r="A612" s="124"/>
      <c r="B612" s="125"/>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row>
    <row r="613" spans="1:33" ht="14.25" customHeight="1" x14ac:dyDescent="0.3">
      <c r="A613" s="124"/>
      <c r="B613" s="125"/>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row>
    <row r="614" spans="1:33" ht="14.25" customHeight="1" x14ac:dyDescent="0.3">
      <c r="A614" s="124"/>
      <c r="B614" s="125"/>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row>
    <row r="615" spans="1:33" ht="14.25" customHeight="1" x14ac:dyDescent="0.3">
      <c r="A615" s="124"/>
      <c r="B615" s="125"/>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row>
    <row r="616" spans="1:33" ht="14.25" customHeight="1" x14ac:dyDescent="0.3">
      <c r="A616" s="124"/>
      <c r="B616" s="125"/>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row>
    <row r="617" spans="1:33" ht="14.25" customHeight="1" x14ac:dyDescent="0.3">
      <c r="A617" s="124"/>
      <c r="B617" s="125"/>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row>
    <row r="618" spans="1:33" ht="14.25" customHeight="1" x14ac:dyDescent="0.3">
      <c r="A618" s="124"/>
      <c r="B618" s="125"/>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row>
    <row r="619" spans="1:33" ht="14.25" customHeight="1" x14ac:dyDescent="0.3">
      <c r="A619" s="124"/>
      <c r="B619" s="125"/>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row>
    <row r="620" spans="1:33" ht="14.25" customHeight="1" x14ac:dyDescent="0.3">
      <c r="A620" s="124"/>
      <c r="B620" s="125"/>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row>
    <row r="621" spans="1:33" ht="14.25" customHeight="1" x14ac:dyDescent="0.3">
      <c r="A621" s="124"/>
      <c r="B621" s="125"/>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row>
    <row r="622" spans="1:33" ht="14.25" customHeight="1" x14ac:dyDescent="0.3">
      <c r="A622" s="124"/>
      <c r="B622" s="125"/>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row>
    <row r="623" spans="1:33" ht="14.25" customHeight="1" x14ac:dyDescent="0.3">
      <c r="A623" s="124"/>
      <c r="B623" s="125"/>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row>
    <row r="624" spans="1:33" ht="14.25" customHeight="1" x14ac:dyDescent="0.3">
      <c r="A624" s="124"/>
      <c r="B624" s="125"/>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row>
    <row r="625" spans="1:33" ht="14.25" customHeight="1" x14ac:dyDescent="0.3">
      <c r="A625" s="124"/>
      <c r="B625" s="125"/>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row>
    <row r="626" spans="1:33" ht="14.25" customHeight="1" x14ac:dyDescent="0.3">
      <c r="A626" s="124"/>
      <c r="B626" s="125"/>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row>
    <row r="627" spans="1:33" ht="14.25" customHeight="1" x14ac:dyDescent="0.3">
      <c r="A627" s="124"/>
      <c r="B627" s="125"/>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row>
    <row r="628" spans="1:33" ht="14.25" customHeight="1" x14ac:dyDescent="0.3">
      <c r="A628" s="124"/>
      <c r="B628" s="125"/>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row>
    <row r="629" spans="1:33" ht="14.25" customHeight="1" x14ac:dyDescent="0.3">
      <c r="A629" s="124"/>
      <c r="B629" s="125"/>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row>
    <row r="630" spans="1:33" ht="14.25" customHeight="1" x14ac:dyDescent="0.3">
      <c r="A630" s="124"/>
      <c r="B630" s="125"/>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row>
    <row r="631" spans="1:33" ht="14.25" customHeight="1" x14ac:dyDescent="0.3">
      <c r="A631" s="124"/>
      <c r="B631" s="125"/>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row>
    <row r="632" spans="1:33" ht="14.25" customHeight="1" x14ac:dyDescent="0.3">
      <c r="A632" s="124"/>
      <c r="B632" s="125"/>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row>
    <row r="633" spans="1:33" ht="14.25" customHeight="1" x14ac:dyDescent="0.3">
      <c r="A633" s="124"/>
      <c r="B633" s="125"/>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row>
    <row r="634" spans="1:33" ht="14.25" customHeight="1" x14ac:dyDescent="0.3">
      <c r="A634" s="124"/>
      <c r="B634" s="125"/>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row>
    <row r="635" spans="1:33" ht="14.25" customHeight="1" x14ac:dyDescent="0.3">
      <c r="A635" s="124"/>
      <c r="B635" s="125"/>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row>
    <row r="636" spans="1:33" ht="14.25" customHeight="1" x14ac:dyDescent="0.3">
      <c r="A636" s="124"/>
      <c r="B636" s="125"/>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row>
    <row r="637" spans="1:33" ht="14.25" customHeight="1" x14ac:dyDescent="0.3">
      <c r="A637" s="124"/>
      <c r="B637" s="125"/>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row>
    <row r="638" spans="1:33" ht="14.25" customHeight="1" x14ac:dyDescent="0.3">
      <c r="A638" s="124"/>
      <c r="B638" s="125"/>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row>
    <row r="639" spans="1:33" ht="14.25" customHeight="1" x14ac:dyDescent="0.3">
      <c r="A639" s="124"/>
      <c r="B639" s="125"/>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row>
    <row r="640" spans="1:33" ht="14.25" customHeight="1" x14ac:dyDescent="0.3">
      <c r="A640" s="124"/>
      <c r="B640" s="125"/>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row>
    <row r="641" spans="1:33" ht="14.25" customHeight="1" x14ac:dyDescent="0.3">
      <c r="A641" s="124"/>
      <c r="B641" s="125"/>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row>
    <row r="642" spans="1:33" ht="14.25" customHeight="1" x14ac:dyDescent="0.3">
      <c r="A642" s="124"/>
      <c r="B642" s="125"/>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row>
    <row r="643" spans="1:33" ht="14.25" customHeight="1" x14ac:dyDescent="0.3">
      <c r="A643" s="124"/>
      <c r="B643" s="125"/>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row>
    <row r="644" spans="1:33" ht="14.25" customHeight="1" x14ac:dyDescent="0.3">
      <c r="A644" s="124"/>
      <c r="B644" s="125"/>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row>
    <row r="645" spans="1:33" ht="14.25" customHeight="1" x14ac:dyDescent="0.3">
      <c r="A645" s="124"/>
      <c r="B645" s="125"/>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row>
    <row r="646" spans="1:33" ht="14.25" customHeight="1" x14ac:dyDescent="0.3">
      <c r="A646" s="124"/>
      <c r="B646" s="125"/>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row>
    <row r="647" spans="1:33" ht="14.25" customHeight="1" x14ac:dyDescent="0.3">
      <c r="A647" s="124"/>
      <c r="B647" s="125"/>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row>
    <row r="648" spans="1:33" ht="14.25" customHeight="1" x14ac:dyDescent="0.3">
      <c r="A648" s="124"/>
      <c r="B648" s="125"/>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row>
    <row r="649" spans="1:33" ht="14.25" customHeight="1" x14ac:dyDescent="0.3">
      <c r="A649" s="124"/>
      <c r="B649" s="125"/>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row>
    <row r="650" spans="1:33" ht="14.25" customHeight="1" x14ac:dyDescent="0.3">
      <c r="A650" s="124"/>
      <c r="B650" s="125"/>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row>
    <row r="651" spans="1:33" ht="14.25" customHeight="1" x14ac:dyDescent="0.3">
      <c r="A651" s="124"/>
      <c r="B651" s="125"/>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row>
    <row r="652" spans="1:33" ht="14.25" customHeight="1" x14ac:dyDescent="0.3">
      <c r="A652" s="124"/>
      <c r="B652" s="125"/>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row>
    <row r="653" spans="1:33" ht="14.25" customHeight="1" x14ac:dyDescent="0.3">
      <c r="A653" s="124"/>
      <c r="B653" s="125"/>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row>
    <row r="654" spans="1:33" ht="14.25" customHeight="1" x14ac:dyDescent="0.3">
      <c r="A654" s="124"/>
      <c r="B654" s="125"/>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row>
    <row r="655" spans="1:33" ht="14.25" customHeight="1" x14ac:dyDescent="0.3">
      <c r="A655" s="124"/>
      <c r="B655" s="125"/>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row>
    <row r="656" spans="1:33" ht="14.25" customHeight="1" x14ac:dyDescent="0.3">
      <c r="A656" s="124"/>
      <c r="B656" s="125"/>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row>
    <row r="657" spans="1:33" ht="14.25" customHeight="1" x14ac:dyDescent="0.3">
      <c r="A657" s="124"/>
      <c r="B657" s="125"/>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row>
    <row r="658" spans="1:33" ht="14.25" customHeight="1" x14ac:dyDescent="0.3">
      <c r="A658" s="124"/>
      <c r="B658" s="125"/>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row>
    <row r="659" spans="1:33" ht="14.25" customHeight="1" x14ac:dyDescent="0.3">
      <c r="A659" s="124"/>
      <c r="B659" s="125"/>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row>
    <row r="660" spans="1:33" ht="14.25" customHeight="1" x14ac:dyDescent="0.3">
      <c r="A660" s="124"/>
      <c r="B660" s="125"/>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row>
    <row r="661" spans="1:33" ht="14.25" customHeight="1" x14ac:dyDescent="0.3">
      <c r="A661" s="124"/>
      <c r="B661" s="125"/>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row>
    <row r="662" spans="1:33" ht="14.25" customHeight="1" x14ac:dyDescent="0.3">
      <c r="A662" s="124"/>
      <c r="B662" s="125"/>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row>
    <row r="663" spans="1:33" ht="14.25" customHeight="1" x14ac:dyDescent="0.3">
      <c r="A663" s="124"/>
      <c r="B663" s="125"/>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row>
    <row r="664" spans="1:33" ht="14.25" customHeight="1" x14ac:dyDescent="0.3">
      <c r="A664" s="124"/>
      <c r="B664" s="125"/>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row>
    <row r="665" spans="1:33" ht="14.25" customHeight="1" x14ac:dyDescent="0.3">
      <c r="A665" s="124"/>
      <c r="B665" s="125"/>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row>
    <row r="666" spans="1:33" ht="14.25" customHeight="1" x14ac:dyDescent="0.3">
      <c r="A666" s="124"/>
      <c r="B666" s="125"/>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row>
    <row r="667" spans="1:33" ht="14.25" customHeight="1" x14ac:dyDescent="0.3">
      <c r="A667" s="124"/>
      <c r="B667" s="125"/>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row>
    <row r="668" spans="1:33" ht="14.25" customHeight="1" x14ac:dyDescent="0.3">
      <c r="A668" s="124"/>
      <c r="B668" s="125"/>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row>
    <row r="669" spans="1:33" ht="14.25" customHeight="1" x14ac:dyDescent="0.3">
      <c r="A669" s="124"/>
      <c r="B669" s="125"/>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row>
    <row r="670" spans="1:33" ht="14.25" customHeight="1" x14ac:dyDescent="0.3">
      <c r="A670" s="124"/>
      <c r="B670" s="125"/>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row>
    <row r="671" spans="1:33" ht="14.25" customHeight="1" x14ac:dyDescent="0.3">
      <c r="A671" s="124"/>
      <c r="B671" s="125"/>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row>
    <row r="672" spans="1:33" ht="14.25" customHeight="1" x14ac:dyDescent="0.3">
      <c r="A672" s="124"/>
      <c r="B672" s="125"/>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row>
    <row r="673" spans="1:33" ht="14.25" customHeight="1" x14ac:dyDescent="0.3">
      <c r="A673" s="124"/>
      <c r="B673" s="125"/>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row>
    <row r="674" spans="1:33" ht="14.25" customHeight="1" x14ac:dyDescent="0.3">
      <c r="A674" s="124"/>
      <c r="B674" s="125"/>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row>
    <row r="675" spans="1:33" ht="14.25" customHeight="1" x14ac:dyDescent="0.3">
      <c r="A675" s="124"/>
      <c r="B675" s="125"/>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row>
    <row r="676" spans="1:33" ht="14.25" customHeight="1" x14ac:dyDescent="0.3">
      <c r="A676" s="124"/>
      <c r="B676" s="125"/>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row>
    <row r="677" spans="1:33" ht="14.25" customHeight="1" x14ac:dyDescent="0.3">
      <c r="A677" s="124"/>
      <c r="B677" s="125"/>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row>
    <row r="678" spans="1:33" ht="14.25" customHeight="1" x14ac:dyDescent="0.3">
      <c r="A678" s="124"/>
      <c r="B678" s="125"/>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row>
    <row r="679" spans="1:33" ht="14.25" customHeight="1" x14ac:dyDescent="0.3">
      <c r="A679" s="124"/>
      <c r="B679" s="125"/>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row>
    <row r="680" spans="1:33" ht="14.25" customHeight="1" x14ac:dyDescent="0.3">
      <c r="A680" s="124"/>
      <c r="B680" s="125"/>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row>
    <row r="681" spans="1:33" ht="14.25" customHeight="1" x14ac:dyDescent="0.3">
      <c r="A681" s="124"/>
      <c r="B681" s="125"/>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row>
    <row r="682" spans="1:33" ht="14.25" customHeight="1" x14ac:dyDescent="0.3">
      <c r="A682" s="124"/>
      <c r="B682" s="125"/>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row>
    <row r="683" spans="1:33" ht="14.25" customHeight="1" x14ac:dyDescent="0.3">
      <c r="A683" s="124"/>
      <c r="B683" s="125"/>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row>
    <row r="684" spans="1:33" ht="14.25" customHeight="1" x14ac:dyDescent="0.3">
      <c r="A684" s="124"/>
      <c r="B684" s="125"/>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row>
    <row r="685" spans="1:33" ht="14.25" customHeight="1" x14ac:dyDescent="0.3">
      <c r="A685" s="124"/>
      <c r="B685" s="125"/>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row>
    <row r="686" spans="1:33" ht="14.25" customHeight="1" x14ac:dyDescent="0.3">
      <c r="A686" s="124"/>
      <c r="B686" s="125"/>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row>
    <row r="687" spans="1:33" ht="14.25" customHeight="1" x14ac:dyDescent="0.3">
      <c r="A687" s="124"/>
      <c r="B687" s="125"/>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row>
    <row r="688" spans="1:33" ht="14.25" customHeight="1" x14ac:dyDescent="0.3">
      <c r="A688" s="124"/>
      <c r="B688" s="125"/>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row>
    <row r="689" spans="1:33" ht="14.25" customHeight="1" x14ac:dyDescent="0.3">
      <c r="A689" s="124"/>
      <c r="B689" s="125"/>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row>
    <row r="690" spans="1:33" ht="14.25" customHeight="1" x14ac:dyDescent="0.3">
      <c r="A690" s="124"/>
      <c r="B690" s="125"/>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row>
    <row r="691" spans="1:33" ht="14.25" customHeight="1" x14ac:dyDescent="0.3">
      <c r="A691" s="124"/>
      <c r="B691" s="125"/>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row>
    <row r="692" spans="1:33" ht="14.25" customHeight="1" x14ac:dyDescent="0.3">
      <c r="A692" s="124"/>
      <c r="B692" s="125"/>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row>
    <row r="693" spans="1:33" ht="14.25" customHeight="1" x14ac:dyDescent="0.3">
      <c r="A693" s="124"/>
      <c r="B693" s="125"/>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row>
    <row r="694" spans="1:33" ht="14.25" customHeight="1" x14ac:dyDescent="0.3">
      <c r="A694" s="124"/>
      <c r="B694" s="125"/>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row>
    <row r="695" spans="1:33" ht="14.25" customHeight="1" x14ac:dyDescent="0.3">
      <c r="A695" s="124"/>
      <c r="B695" s="125"/>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row>
    <row r="696" spans="1:33" ht="14.25" customHeight="1" x14ac:dyDescent="0.3">
      <c r="A696" s="124"/>
      <c r="B696" s="125"/>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row>
    <row r="697" spans="1:33" ht="14.25" customHeight="1" x14ac:dyDescent="0.3">
      <c r="A697" s="124"/>
      <c r="B697" s="125"/>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row>
    <row r="698" spans="1:33" ht="14.25" customHeight="1" x14ac:dyDescent="0.3">
      <c r="A698" s="124"/>
      <c r="B698" s="125"/>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row>
    <row r="699" spans="1:33" ht="14.25" customHeight="1" x14ac:dyDescent="0.3">
      <c r="A699" s="124"/>
      <c r="B699" s="125"/>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row>
    <row r="700" spans="1:33" ht="14.25" customHeight="1" x14ac:dyDescent="0.3">
      <c r="A700" s="124"/>
      <c r="B700" s="125"/>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row>
    <row r="701" spans="1:33" ht="14.25" customHeight="1" x14ac:dyDescent="0.3">
      <c r="A701" s="124"/>
      <c r="B701" s="125"/>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row>
    <row r="702" spans="1:33" ht="14.25" customHeight="1" x14ac:dyDescent="0.3">
      <c r="A702" s="124"/>
      <c r="B702" s="125"/>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row>
    <row r="703" spans="1:33" ht="14.25" customHeight="1" x14ac:dyDescent="0.3">
      <c r="A703" s="124"/>
      <c r="B703" s="125"/>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row>
    <row r="704" spans="1:33" ht="14.25" customHeight="1" x14ac:dyDescent="0.3">
      <c r="A704" s="124"/>
      <c r="B704" s="125"/>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row>
    <row r="705" spans="1:33" ht="14.25" customHeight="1" x14ac:dyDescent="0.3">
      <c r="A705" s="124"/>
      <c r="B705" s="125"/>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row>
    <row r="706" spans="1:33" ht="14.25" customHeight="1" x14ac:dyDescent="0.3">
      <c r="A706" s="124"/>
      <c r="B706" s="125"/>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row>
    <row r="707" spans="1:33" ht="14.25" customHeight="1" x14ac:dyDescent="0.3">
      <c r="A707" s="124"/>
      <c r="B707" s="125"/>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row>
    <row r="708" spans="1:33" ht="14.25" customHeight="1" x14ac:dyDescent="0.3">
      <c r="A708" s="124"/>
      <c r="B708" s="125"/>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row>
    <row r="709" spans="1:33" ht="14.25" customHeight="1" x14ac:dyDescent="0.3">
      <c r="A709" s="124"/>
      <c r="B709" s="125"/>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row>
    <row r="710" spans="1:33" ht="14.25" customHeight="1" x14ac:dyDescent="0.3">
      <c r="A710" s="124"/>
      <c r="B710" s="125"/>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row>
    <row r="711" spans="1:33" ht="14.25" customHeight="1" x14ac:dyDescent="0.3">
      <c r="A711" s="124"/>
      <c r="B711" s="125"/>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row>
    <row r="712" spans="1:33" ht="14.25" customHeight="1" x14ac:dyDescent="0.3">
      <c r="A712" s="124"/>
      <c r="B712" s="125"/>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row>
    <row r="713" spans="1:33" ht="14.25" customHeight="1" x14ac:dyDescent="0.3">
      <c r="A713" s="124"/>
      <c r="B713" s="125"/>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row>
    <row r="714" spans="1:33" ht="14.25" customHeight="1" x14ac:dyDescent="0.3">
      <c r="A714" s="124"/>
      <c r="B714" s="125"/>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row>
    <row r="715" spans="1:33" ht="14.25" customHeight="1" x14ac:dyDescent="0.3">
      <c r="A715" s="124"/>
      <c r="B715" s="125"/>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row>
    <row r="716" spans="1:33" ht="14.25" customHeight="1" x14ac:dyDescent="0.3">
      <c r="A716" s="124"/>
      <c r="B716" s="125"/>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row>
    <row r="717" spans="1:33" ht="14.25" customHeight="1" x14ac:dyDescent="0.3">
      <c r="A717" s="124"/>
      <c r="B717" s="125"/>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row>
    <row r="718" spans="1:33" ht="14.25" customHeight="1" x14ac:dyDescent="0.3">
      <c r="A718" s="124"/>
      <c r="B718" s="125"/>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row>
    <row r="719" spans="1:33" ht="14.25" customHeight="1" x14ac:dyDescent="0.3">
      <c r="A719" s="124"/>
      <c r="B719" s="125"/>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row>
    <row r="720" spans="1:33" ht="14.25" customHeight="1" x14ac:dyDescent="0.3">
      <c r="A720" s="124"/>
      <c r="B720" s="125"/>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row>
    <row r="721" spans="1:33" ht="14.25" customHeight="1" x14ac:dyDescent="0.3">
      <c r="A721" s="124"/>
      <c r="B721" s="125"/>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row>
    <row r="722" spans="1:33" ht="14.25" customHeight="1" x14ac:dyDescent="0.3">
      <c r="A722" s="124"/>
      <c r="B722" s="125"/>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row>
    <row r="723" spans="1:33" ht="14.25" customHeight="1" x14ac:dyDescent="0.3">
      <c r="A723" s="124"/>
      <c r="B723" s="125"/>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row>
    <row r="724" spans="1:33" ht="14.25" customHeight="1" x14ac:dyDescent="0.3">
      <c r="A724" s="124"/>
      <c r="B724" s="125"/>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row>
    <row r="725" spans="1:33" ht="14.25" customHeight="1" x14ac:dyDescent="0.3">
      <c r="A725" s="124"/>
      <c r="B725" s="125"/>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row>
    <row r="726" spans="1:33" ht="14.25" customHeight="1" x14ac:dyDescent="0.3">
      <c r="A726" s="124"/>
      <c r="B726" s="125"/>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row>
    <row r="727" spans="1:33" ht="14.25" customHeight="1" x14ac:dyDescent="0.3">
      <c r="A727" s="124"/>
      <c r="B727" s="125"/>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row>
    <row r="728" spans="1:33" ht="14.25" customHeight="1" x14ac:dyDescent="0.3">
      <c r="A728" s="124"/>
      <c r="B728" s="125"/>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row>
    <row r="729" spans="1:33" ht="14.25" customHeight="1" x14ac:dyDescent="0.3">
      <c r="A729" s="124"/>
      <c r="B729" s="125"/>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row>
    <row r="730" spans="1:33" ht="14.25" customHeight="1" x14ac:dyDescent="0.3">
      <c r="A730" s="124"/>
      <c r="B730" s="125"/>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row>
    <row r="731" spans="1:33" ht="14.25" customHeight="1" x14ac:dyDescent="0.3">
      <c r="A731" s="124"/>
      <c r="B731" s="125"/>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row>
    <row r="732" spans="1:33" ht="14.25" customHeight="1" x14ac:dyDescent="0.3">
      <c r="A732" s="124"/>
      <c r="B732" s="125"/>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row>
    <row r="733" spans="1:33" ht="14.25" customHeight="1" x14ac:dyDescent="0.3">
      <c r="A733" s="124"/>
      <c r="B733" s="125"/>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row>
    <row r="734" spans="1:33" ht="14.25" customHeight="1" x14ac:dyDescent="0.3">
      <c r="A734" s="124"/>
      <c r="B734" s="125"/>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row>
    <row r="735" spans="1:33" ht="14.25" customHeight="1" x14ac:dyDescent="0.3">
      <c r="A735" s="124"/>
      <c r="B735" s="125"/>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row>
    <row r="736" spans="1:33" ht="14.25" customHeight="1" x14ac:dyDescent="0.3">
      <c r="A736" s="124"/>
      <c r="B736" s="125"/>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row>
    <row r="737" spans="1:33" ht="14.25" customHeight="1" x14ac:dyDescent="0.3">
      <c r="A737" s="124"/>
      <c r="B737" s="125"/>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row>
    <row r="738" spans="1:33" ht="14.25" customHeight="1" x14ac:dyDescent="0.3">
      <c r="A738" s="124"/>
      <c r="B738" s="125"/>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row>
    <row r="739" spans="1:33" ht="14.25" customHeight="1" x14ac:dyDescent="0.3">
      <c r="A739" s="124"/>
      <c r="B739" s="125"/>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row>
    <row r="740" spans="1:33" ht="14.25" customHeight="1" x14ac:dyDescent="0.3">
      <c r="A740" s="124"/>
      <c r="B740" s="125"/>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row>
    <row r="741" spans="1:33" ht="14.25" customHeight="1" x14ac:dyDescent="0.3">
      <c r="A741" s="124"/>
      <c r="B741" s="125"/>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row>
    <row r="742" spans="1:33" ht="14.25" customHeight="1" x14ac:dyDescent="0.3">
      <c r="A742" s="124"/>
      <c r="B742" s="125"/>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row>
    <row r="743" spans="1:33" ht="14.25" customHeight="1" x14ac:dyDescent="0.3">
      <c r="A743" s="124"/>
      <c r="B743" s="125"/>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row>
    <row r="744" spans="1:33" ht="14.25" customHeight="1" x14ac:dyDescent="0.3">
      <c r="A744" s="124"/>
      <c r="B744" s="125"/>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row>
    <row r="745" spans="1:33" ht="14.25" customHeight="1" x14ac:dyDescent="0.3">
      <c r="A745" s="124"/>
      <c r="B745" s="125"/>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row>
    <row r="746" spans="1:33" ht="14.25" customHeight="1" x14ac:dyDescent="0.3">
      <c r="A746" s="124"/>
      <c r="B746" s="125"/>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row>
    <row r="747" spans="1:33" ht="14.25" customHeight="1" x14ac:dyDescent="0.3">
      <c r="A747" s="124"/>
      <c r="B747" s="125"/>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row>
    <row r="748" spans="1:33" ht="14.25" customHeight="1" x14ac:dyDescent="0.3">
      <c r="A748" s="124"/>
      <c r="B748" s="125"/>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row>
    <row r="749" spans="1:33" ht="14.25" customHeight="1" x14ac:dyDescent="0.3">
      <c r="A749" s="124"/>
      <c r="B749" s="125"/>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row>
    <row r="750" spans="1:33" ht="14.25" customHeight="1" x14ac:dyDescent="0.3">
      <c r="A750" s="124"/>
      <c r="B750" s="125"/>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row>
    <row r="751" spans="1:33" ht="14.25" customHeight="1" x14ac:dyDescent="0.3">
      <c r="A751" s="124"/>
      <c r="B751" s="125"/>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row>
    <row r="752" spans="1:33" ht="14.25" customHeight="1" x14ac:dyDescent="0.3">
      <c r="A752" s="124"/>
      <c r="B752" s="125"/>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row>
    <row r="753" spans="1:33" ht="14.25" customHeight="1" x14ac:dyDescent="0.3">
      <c r="A753" s="124"/>
      <c r="B753" s="125"/>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row>
    <row r="754" spans="1:33" ht="14.25" customHeight="1" x14ac:dyDescent="0.3">
      <c r="A754" s="124"/>
      <c r="B754" s="125"/>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row>
    <row r="755" spans="1:33" ht="14.25" customHeight="1" x14ac:dyDescent="0.3">
      <c r="A755" s="124"/>
      <c r="B755" s="125"/>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row>
    <row r="756" spans="1:33" ht="14.25" customHeight="1" x14ac:dyDescent="0.3">
      <c r="A756" s="124"/>
      <c r="B756" s="125"/>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row>
    <row r="757" spans="1:33" ht="14.25" customHeight="1" x14ac:dyDescent="0.3">
      <c r="A757" s="124"/>
      <c r="B757" s="125"/>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row>
    <row r="758" spans="1:33" ht="14.25" customHeight="1" x14ac:dyDescent="0.3">
      <c r="A758" s="124"/>
      <c r="B758" s="125"/>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row>
    <row r="759" spans="1:33" ht="14.25" customHeight="1" x14ac:dyDescent="0.3">
      <c r="A759" s="124"/>
      <c r="B759" s="125"/>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row>
    <row r="760" spans="1:33" ht="14.25" customHeight="1" x14ac:dyDescent="0.3">
      <c r="A760" s="124"/>
      <c r="B760" s="125"/>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row>
    <row r="761" spans="1:33" ht="14.25" customHeight="1" x14ac:dyDescent="0.3">
      <c r="A761" s="124"/>
      <c r="B761" s="125"/>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row>
    <row r="762" spans="1:33" ht="14.25" customHeight="1" x14ac:dyDescent="0.3">
      <c r="A762" s="124"/>
      <c r="B762" s="125"/>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row>
    <row r="763" spans="1:33" ht="14.25" customHeight="1" x14ac:dyDescent="0.3">
      <c r="A763" s="124"/>
      <c r="B763" s="125"/>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row>
    <row r="764" spans="1:33" ht="14.25" customHeight="1" x14ac:dyDescent="0.3">
      <c r="A764" s="124"/>
      <c r="B764" s="125"/>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row>
    <row r="765" spans="1:33" ht="14.25" customHeight="1" x14ac:dyDescent="0.3">
      <c r="A765" s="124"/>
      <c r="B765" s="125"/>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row>
    <row r="766" spans="1:33" ht="14.25" customHeight="1" x14ac:dyDescent="0.3">
      <c r="A766" s="124"/>
      <c r="B766" s="125"/>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row>
    <row r="767" spans="1:33" ht="14.25" customHeight="1" x14ac:dyDescent="0.3">
      <c r="A767" s="124"/>
      <c r="B767" s="125"/>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row>
    <row r="768" spans="1:33" ht="14.25" customHeight="1" x14ac:dyDescent="0.3">
      <c r="A768" s="124"/>
      <c r="B768" s="125"/>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row>
    <row r="769" spans="1:33" ht="14.25" customHeight="1" x14ac:dyDescent="0.3">
      <c r="A769" s="124"/>
      <c r="B769" s="125"/>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row>
    <row r="770" spans="1:33" ht="14.25" customHeight="1" x14ac:dyDescent="0.3">
      <c r="A770" s="124"/>
      <c r="B770" s="125"/>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row>
    <row r="771" spans="1:33" ht="14.25" customHeight="1" x14ac:dyDescent="0.3">
      <c r="A771" s="124"/>
      <c r="B771" s="125"/>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row>
    <row r="772" spans="1:33" ht="14.25" customHeight="1" x14ac:dyDescent="0.3">
      <c r="A772" s="124"/>
      <c r="B772" s="125"/>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row>
    <row r="773" spans="1:33" ht="14.25" customHeight="1" x14ac:dyDescent="0.3">
      <c r="A773" s="124"/>
      <c r="B773" s="125"/>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row>
    <row r="774" spans="1:33" ht="14.25" customHeight="1" x14ac:dyDescent="0.3">
      <c r="A774" s="124"/>
      <c r="B774" s="125"/>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row>
    <row r="775" spans="1:33" ht="14.25" customHeight="1" x14ac:dyDescent="0.3">
      <c r="A775" s="124"/>
      <c r="B775" s="125"/>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row>
    <row r="776" spans="1:33" ht="14.25" customHeight="1" x14ac:dyDescent="0.3">
      <c r="A776" s="124"/>
      <c r="B776" s="125"/>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row>
    <row r="777" spans="1:33" ht="14.25" customHeight="1" x14ac:dyDescent="0.3">
      <c r="A777" s="124"/>
      <c r="B777" s="125"/>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row>
    <row r="778" spans="1:33" ht="14.25" customHeight="1" x14ac:dyDescent="0.3">
      <c r="A778" s="124"/>
      <c r="B778" s="125"/>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row>
    <row r="779" spans="1:33" ht="14.25" customHeight="1" x14ac:dyDescent="0.3">
      <c r="A779" s="124"/>
      <c r="B779" s="125"/>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row>
    <row r="780" spans="1:33" ht="14.25" customHeight="1" x14ac:dyDescent="0.3">
      <c r="A780" s="124"/>
      <c r="B780" s="125"/>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row>
    <row r="781" spans="1:33" ht="14.25" customHeight="1" x14ac:dyDescent="0.3">
      <c r="A781" s="124"/>
      <c r="B781" s="125"/>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row>
    <row r="782" spans="1:33" ht="14.25" customHeight="1" x14ac:dyDescent="0.3">
      <c r="A782" s="124"/>
      <c r="B782" s="125"/>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row>
    <row r="783" spans="1:33" ht="14.25" customHeight="1" x14ac:dyDescent="0.3">
      <c r="A783" s="124"/>
      <c r="B783" s="125"/>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row>
    <row r="784" spans="1:33" ht="14.25" customHeight="1" x14ac:dyDescent="0.3">
      <c r="A784" s="124"/>
      <c r="B784" s="125"/>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row>
    <row r="785" spans="1:33" ht="14.25" customHeight="1" x14ac:dyDescent="0.3">
      <c r="A785" s="124"/>
      <c r="B785" s="125"/>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row>
    <row r="786" spans="1:33" ht="14.25" customHeight="1" x14ac:dyDescent="0.3">
      <c r="A786" s="124"/>
      <c r="B786" s="125"/>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row>
    <row r="787" spans="1:33" ht="14.25" customHeight="1" x14ac:dyDescent="0.3">
      <c r="A787" s="124"/>
      <c r="B787" s="125"/>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row>
    <row r="788" spans="1:33" ht="14.25" customHeight="1" x14ac:dyDescent="0.3">
      <c r="A788" s="124"/>
      <c r="B788" s="125"/>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row>
    <row r="789" spans="1:33" ht="14.25" customHeight="1" x14ac:dyDescent="0.3">
      <c r="A789" s="124"/>
      <c r="B789" s="125"/>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row>
    <row r="790" spans="1:33" ht="14.25" customHeight="1" x14ac:dyDescent="0.3">
      <c r="A790" s="124"/>
      <c r="B790" s="125"/>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row>
    <row r="791" spans="1:33" ht="14.25" customHeight="1" x14ac:dyDescent="0.3">
      <c r="A791" s="124"/>
      <c r="B791" s="125"/>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row>
    <row r="792" spans="1:33" ht="14.25" customHeight="1" x14ac:dyDescent="0.3">
      <c r="A792" s="124"/>
      <c r="B792" s="125"/>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row>
    <row r="793" spans="1:33" ht="14.25" customHeight="1" x14ac:dyDescent="0.3">
      <c r="A793" s="124"/>
      <c r="B793" s="125"/>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row>
    <row r="794" spans="1:33" ht="14.25" customHeight="1" x14ac:dyDescent="0.3">
      <c r="A794" s="124"/>
      <c r="B794" s="125"/>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row>
    <row r="795" spans="1:33" ht="14.25" customHeight="1" x14ac:dyDescent="0.3">
      <c r="A795" s="124"/>
      <c r="B795" s="125"/>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row>
    <row r="796" spans="1:33" ht="14.25" customHeight="1" x14ac:dyDescent="0.3">
      <c r="A796" s="124"/>
      <c r="B796" s="125"/>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row>
    <row r="797" spans="1:33" ht="14.25" customHeight="1" x14ac:dyDescent="0.3">
      <c r="A797" s="124"/>
      <c r="B797" s="125"/>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row>
    <row r="798" spans="1:33" ht="14.25" customHeight="1" x14ac:dyDescent="0.3">
      <c r="A798" s="124"/>
      <c r="B798" s="125"/>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row>
    <row r="799" spans="1:33" ht="14.25" customHeight="1" x14ac:dyDescent="0.3">
      <c r="A799" s="124"/>
      <c r="B799" s="125"/>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row>
    <row r="800" spans="1:33" ht="14.25" customHeight="1" x14ac:dyDescent="0.3">
      <c r="A800" s="124"/>
      <c r="B800" s="125"/>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row>
    <row r="801" spans="1:33" ht="14.25" customHeight="1" x14ac:dyDescent="0.3">
      <c r="A801" s="124"/>
      <c r="B801" s="125"/>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row>
    <row r="802" spans="1:33" ht="14.25" customHeight="1" x14ac:dyDescent="0.3">
      <c r="A802" s="124"/>
      <c r="B802" s="125"/>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row>
    <row r="803" spans="1:33" ht="14.25" customHeight="1" x14ac:dyDescent="0.3">
      <c r="A803" s="124"/>
      <c r="B803" s="125"/>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row>
    <row r="804" spans="1:33" ht="14.25" customHeight="1" x14ac:dyDescent="0.3">
      <c r="A804" s="124"/>
      <c r="B804" s="125"/>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row>
    <row r="805" spans="1:33" ht="14.25" customHeight="1" x14ac:dyDescent="0.3">
      <c r="A805" s="124"/>
      <c r="B805" s="125"/>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row>
    <row r="806" spans="1:33" ht="14.25" customHeight="1" x14ac:dyDescent="0.3">
      <c r="A806" s="124"/>
      <c r="B806" s="125"/>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row>
    <row r="807" spans="1:33" ht="14.25" customHeight="1" x14ac:dyDescent="0.3">
      <c r="A807" s="124"/>
      <c r="B807" s="125"/>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row>
    <row r="808" spans="1:33" ht="14.25" customHeight="1" x14ac:dyDescent="0.3">
      <c r="A808" s="124"/>
      <c r="B808" s="125"/>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row>
    <row r="809" spans="1:33" ht="14.25" customHeight="1" x14ac:dyDescent="0.3">
      <c r="A809" s="124"/>
      <c r="B809" s="125"/>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row>
    <row r="810" spans="1:33" ht="14.25" customHeight="1" x14ac:dyDescent="0.3">
      <c r="A810" s="124"/>
      <c r="B810" s="125"/>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row>
    <row r="811" spans="1:33" ht="14.25" customHeight="1" x14ac:dyDescent="0.3">
      <c r="A811" s="124"/>
      <c r="B811" s="125"/>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row>
    <row r="812" spans="1:33" ht="14.25" customHeight="1" x14ac:dyDescent="0.3">
      <c r="A812" s="124"/>
      <c r="B812" s="125"/>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row>
    <row r="813" spans="1:33" ht="14.25" customHeight="1" x14ac:dyDescent="0.3">
      <c r="A813" s="124"/>
      <c r="B813" s="125"/>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row>
    <row r="814" spans="1:33" ht="14.25" customHeight="1" x14ac:dyDescent="0.3">
      <c r="A814" s="124"/>
      <c r="B814" s="125"/>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row>
    <row r="815" spans="1:33" ht="14.25" customHeight="1" x14ac:dyDescent="0.3">
      <c r="A815" s="124"/>
      <c r="B815" s="125"/>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row>
    <row r="816" spans="1:33" ht="14.25" customHeight="1" x14ac:dyDescent="0.3">
      <c r="A816" s="124"/>
      <c r="B816" s="125"/>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row>
    <row r="817" spans="1:33" ht="14.25" customHeight="1" x14ac:dyDescent="0.3">
      <c r="A817" s="124"/>
      <c r="B817" s="125"/>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row>
    <row r="818" spans="1:33" ht="14.25" customHeight="1" x14ac:dyDescent="0.3">
      <c r="A818" s="124"/>
      <c r="B818" s="125"/>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row>
    <row r="819" spans="1:33" ht="14.25" customHeight="1" x14ac:dyDescent="0.3">
      <c r="A819" s="124"/>
      <c r="B819" s="125"/>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row>
    <row r="820" spans="1:33" ht="14.25" customHeight="1" x14ac:dyDescent="0.3">
      <c r="A820" s="124"/>
      <c r="B820" s="125"/>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row>
    <row r="821" spans="1:33" ht="14.25" customHeight="1" x14ac:dyDescent="0.3">
      <c r="A821" s="124"/>
      <c r="B821" s="125"/>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row>
    <row r="822" spans="1:33" ht="14.25" customHeight="1" x14ac:dyDescent="0.3">
      <c r="A822" s="124"/>
      <c r="B822" s="125"/>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row>
    <row r="823" spans="1:33" ht="14.25" customHeight="1" x14ac:dyDescent="0.3">
      <c r="A823" s="124"/>
      <c r="B823" s="125"/>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row>
    <row r="824" spans="1:33" ht="14.25" customHeight="1" x14ac:dyDescent="0.3">
      <c r="A824" s="124"/>
      <c r="B824" s="125"/>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row>
    <row r="825" spans="1:33" ht="14.25" customHeight="1" x14ac:dyDescent="0.3">
      <c r="A825" s="124"/>
      <c r="B825" s="125"/>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row>
    <row r="826" spans="1:33" ht="14.25" customHeight="1" x14ac:dyDescent="0.3">
      <c r="A826" s="124"/>
      <c r="B826" s="125"/>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row>
    <row r="827" spans="1:33" ht="14.25" customHeight="1" x14ac:dyDescent="0.3">
      <c r="A827" s="124"/>
      <c r="B827" s="125"/>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row>
    <row r="828" spans="1:33" ht="14.25" customHeight="1" x14ac:dyDescent="0.3">
      <c r="A828" s="124"/>
      <c r="B828" s="125"/>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row>
    <row r="829" spans="1:33" ht="14.25" customHeight="1" x14ac:dyDescent="0.3">
      <c r="A829" s="124"/>
      <c r="B829" s="125"/>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row>
    <row r="830" spans="1:33" ht="14.25" customHeight="1" x14ac:dyDescent="0.3">
      <c r="A830" s="124"/>
      <c r="B830" s="125"/>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row>
    <row r="831" spans="1:33" ht="14.25" customHeight="1" x14ac:dyDescent="0.3">
      <c r="A831" s="124"/>
      <c r="B831" s="125"/>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row>
    <row r="832" spans="1:33" ht="14.25" customHeight="1" x14ac:dyDescent="0.3">
      <c r="A832" s="124"/>
      <c r="B832" s="125"/>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row>
    <row r="833" spans="1:33" ht="14.25" customHeight="1" x14ac:dyDescent="0.3">
      <c r="A833" s="124"/>
      <c r="B833" s="125"/>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row>
    <row r="834" spans="1:33" ht="14.25" customHeight="1" x14ac:dyDescent="0.3">
      <c r="A834" s="124"/>
      <c r="B834" s="125"/>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row>
    <row r="835" spans="1:33" ht="14.25" customHeight="1" x14ac:dyDescent="0.3">
      <c r="A835" s="124"/>
      <c r="B835" s="125"/>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row>
    <row r="836" spans="1:33" ht="14.25" customHeight="1" x14ac:dyDescent="0.3">
      <c r="A836" s="124"/>
      <c r="B836" s="125"/>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row>
    <row r="837" spans="1:33" ht="14.25" customHeight="1" x14ac:dyDescent="0.3">
      <c r="A837" s="124"/>
      <c r="B837" s="125"/>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row>
    <row r="838" spans="1:33" ht="14.25" customHeight="1" x14ac:dyDescent="0.3">
      <c r="A838" s="124"/>
      <c r="B838" s="125"/>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row>
    <row r="839" spans="1:33" ht="14.25" customHeight="1" x14ac:dyDescent="0.3">
      <c r="A839" s="124"/>
      <c r="B839" s="125"/>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row>
    <row r="840" spans="1:33" ht="14.25" customHeight="1" x14ac:dyDescent="0.3">
      <c r="A840" s="124"/>
      <c r="B840" s="125"/>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row>
    <row r="841" spans="1:33" ht="14.25" customHeight="1" x14ac:dyDescent="0.3">
      <c r="A841" s="124"/>
      <c r="B841" s="125"/>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row>
    <row r="842" spans="1:33" ht="14.25" customHeight="1" x14ac:dyDescent="0.3">
      <c r="A842" s="124"/>
      <c r="B842" s="125"/>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row>
    <row r="843" spans="1:33" ht="14.25" customHeight="1" x14ac:dyDescent="0.3">
      <c r="A843" s="124"/>
      <c r="B843" s="125"/>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row>
    <row r="844" spans="1:33" ht="14.25" customHeight="1" x14ac:dyDescent="0.3">
      <c r="A844" s="124"/>
      <c r="B844" s="125"/>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row>
    <row r="845" spans="1:33" ht="14.25" customHeight="1" x14ac:dyDescent="0.3">
      <c r="A845" s="124"/>
      <c r="B845" s="125"/>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row>
    <row r="846" spans="1:33" ht="14.25" customHeight="1" x14ac:dyDescent="0.3">
      <c r="A846" s="124"/>
      <c r="B846" s="125"/>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row>
    <row r="847" spans="1:33" ht="14.25" customHeight="1" x14ac:dyDescent="0.3">
      <c r="A847" s="124"/>
      <c r="B847" s="125"/>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row>
    <row r="848" spans="1:33" ht="14.25" customHeight="1" x14ac:dyDescent="0.3">
      <c r="A848" s="124"/>
      <c r="B848" s="125"/>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row>
    <row r="849" spans="1:33" ht="14.25" customHeight="1" x14ac:dyDescent="0.3">
      <c r="A849" s="124"/>
      <c r="B849" s="125"/>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row>
    <row r="850" spans="1:33" ht="14.25" customHeight="1" x14ac:dyDescent="0.3">
      <c r="A850" s="124"/>
      <c r="B850" s="125"/>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row>
    <row r="851" spans="1:33" ht="14.25" customHeight="1" x14ac:dyDescent="0.3">
      <c r="A851" s="124"/>
      <c r="B851" s="125"/>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row>
    <row r="852" spans="1:33" ht="14.25" customHeight="1" x14ac:dyDescent="0.3">
      <c r="A852" s="124"/>
      <c r="B852" s="125"/>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row>
    <row r="853" spans="1:33" ht="14.25" customHeight="1" x14ac:dyDescent="0.3">
      <c r="A853" s="124"/>
      <c r="B853" s="125"/>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row>
    <row r="854" spans="1:33" ht="14.25" customHeight="1" x14ac:dyDescent="0.3">
      <c r="A854" s="124"/>
      <c r="B854" s="125"/>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row>
    <row r="855" spans="1:33" ht="14.25" customHeight="1" x14ac:dyDescent="0.3">
      <c r="A855" s="124"/>
      <c r="B855" s="125"/>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row>
    <row r="856" spans="1:33" ht="14.25" customHeight="1" x14ac:dyDescent="0.3">
      <c r="A856" s="124"/>
      <c r="B856" s="125"/>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row>
    <row r="857" spans="1:33" ht="14.25" customHeight="1" x14ac:dyDescent="0.3">
      <c r="A857" s="124"/>
      <c r="B857" s="125"/>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row>
    <row r="858" spans="1:33" ht="14.25" customHeight="1" x14ac:dyDescent="0.3">
      <c r="A858" s="124"/>
      <c r="B858" s="125"/>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row>
    <row r="859" spans="1:33" ht="14.25" customHeight="1" x14ac:dyDescent="0.3">
      <c r="A859" s="124"/>
      <c r="B859" s="125"/>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row>
    <row r="860" spans="1:33" ht="14.25" customHeight="1" x14ac:dyDescent="0.3">
      <c r="A860" s="124"/>
      <c r="B860" s="125"/>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row>
    <row r="861" spans="1:33" ht="14.25" customHeight="1" x14ac:dyDescent="0.3">
      <c r="A861" s="124"/>
      <c r="B861" s="125"/>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row>
    <row r="862" spans="1:33" ht="14.25" customHeight="1" x14ac:dyDescent="0.3">
      <c r="A862" s="124"/>
      <c r="B862" s="125"/>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row>
    <row r="863" spans="1:33" ht="14.25" customHeight="1" x14ac:dyDescent="0.3">
      <c r="A863" s="124"/>
      <c r="B863" s="125"/>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row>
    <row r="864" spans="1:33" ht="14.25" customHeight="1" x14ac:dyDescent="0.3">
      <c r="A864" s="124"/>
      <c r="B864" s="125"/>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row>
    <row r="865" spans="1:33" ht="14.25" customHeight="1" x14ac:dyDescent="0.3">
      <c r="A865" s="124"/>
      <c r="B865" s="125"/>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row>
    <row r="866" spans="1:33" ht="14.25" customHeight="1" x14ac:dyDescent="0.3">
      <c r="A866" s="124"/>
      <c r="B866" s="125"/>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row>
    <row r="867" spans="1:33" ht="14.25" customHeight="1" x14ac:dyDescent="0.3">
      <c r="A867" s="124"/>
      <c r="B867" s="125"/>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row>
    <row r="868" spans="1:33" ht="14.25" customHeight="1" x14ac:dyDescent="0.3">
      <c r="A868" s="124"/>
      <c r="B868" s="125"/>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row>
    <row r="869" spans="1:33" ht="14.25" customHeight="1" x14ac:dyDescent="0.3">
      <c r="A869" s="124"/>
      <c r="B869" s="125"/>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row>
    <row r="870" spans="1:33" ht="14.25" customHeight="1" x14ac:dyDescent="0.3">
      <c r="A870" s="124"/>
      <c r="B870" s="125"/>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row>
    <row r="871" spans="1:33" ht="14.25" customHeight="1" x14ac:dyDescent="0.3">
      <c r="A871" s="124"/>
      <c r="B871" s="125"/>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row>
    <row r="872" spans="1:33" ht="14.25" customHeight="1" x14ac:dyDescent="0.3">
      <c r="A872" s="124"/>
      <c r="B872" s="125"/>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row>
    <row r="873" spans="1:33" ht="14.25" customHeight="1" x14ac:dyDescent="0.3">
      <c r="A873" s="124"/>
      <c r="B873" s="125"/>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row>
    <row r="874" spans="1:33" ht="14.25" customHeight="1" x14ac:dyDescent="0.3">
      <c r="A874" s="124"/>
      <c r="B874" s="125"/>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row>
    <row r="875" spans="1:33" ht="14.25" customHeight="1" x14ac:dyDescent="0.3">
      <c r="A875" s="124"/>
      <c r="B875" s="125"/>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row>
    <row r="876" spans="1:33" ht="14.25" customHeight="1" x14ac:dyDescent="0.3">
      <c r="A876" s="124"/>
      <c r="B876" s="125"/>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row>
    <row r="877" spans="1:33" ht="14.25" customHeight="1" x14ac:dyDescent="0.3">
      <c r="A877" s="124"/>
      <c r="B877" s="125"/>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row>
    <row r="878" spans="1:33" ht="14.25" customHeight="1" x14ac:dyDescent="0.3">
      <c r="A878" s="124"/>
      <c r="B878" s="125"/>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row>
    <row r="879" spans="1:33" ht="14.25" customHeight="1" x14ac:dyDescent="0.3">
      <c r="A879" s="124"/>
      <c r="B879" s="125"/>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row>
    <row r="880" spans="1:33" ht="14.25" customHeight="1" x14ac:dyDescent="0.3">
      <c r="A880" s="124"/>
      <c r="B880" s="125"/>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row>
    <row r="881" spans="1:33" ht="14.25" customHeight="1" x14ac:dyDescent="0.3">
      <c r="A881" s="124"/>
      <c r="B881" s="125"/>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row>
    <row r="882" spans="1:33" ht="14.25" customHeight="1" x14ac:dyDescent="0.3">
      <c r="A882" s="124"/>
      <c r="B882" s="125"/>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row>
    <row r="883" spans="1:33" ht="14.25" customHeight="1" x14ac:dyDescent="0.3">
      <c r="A883" s="124"/>
      <c r="B883" s="125"/>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row>
    <row r="884" spans="1:33" ht="14.25" customHeight="1" x14ac:dyDescent="0.3">
      <c r="A884" s="124"/>
      <c r="B884" s="125"/>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row>
    <row r="885" spans="1:33" ht="14.25" customHeight="1" x14ac:dyDescent="0.3">
      <c r="A885" s="124"/>
      <c r="B885" s="125"/>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row>
    <row r="886" spans="1:33" ht="14.25" customHeight="1" x14ac:dyDescent="0.3">
      <c r="A886" s="124"/>
      <c r="B886" s="125"/>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row>
    <row r="887" spans="1:33" ht="14.25" customHeight="1" x14ac:dyDescent="0.3">
      <c r="A887" s="124"/>
      <c r="B887" s="125"/>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row>
    <row r="888" spans="1:33" ht="14.25" customHeight="1" x14ac:dyDescent="0.3">
      <c r="A888" s="124"/>
      <c r="B888" s="125"/>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row>
    <row r="889" spans="1:33" ht="14.25" customHeight="1" x14ac:dyDescent="0.3">
      <c r="A889" s="124"/>
      <c r="B889" s="125"/>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row>
    <row r="890" spans="1:33" ht="14.25" customHeight="1" x14ac:dyDescent="0.3">
      <c r="A890" s="124"/>
      <c r="B890" s="125"/>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row>
    <row r="891" spans="1:33" ht="14.25" customHeight="1" x14ac:dyDescent="0.3">
      <c r="A891" s="124"/>
      <c r="B891" s="125"/>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row>
    <row r="892" spans="1:33" ht="14.25" customHeight="1" x14ac:dyDescent="0.3">
      <c r="A892" s="124"/>
      <c r="B892" s="125"/>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row>
    <row r="893" spans="1:33" ht="14.25" customHeight="1" x14ac:dyDescent="0.3">
      <c r="A893" s="124"/>
      <c r="B893" s="125"/>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row>
    <row r="894" spans="1:33" ht="14.25" customHeight="1" x14ac:dyDescent="0.3">
      <c r="A894" s="124"/>
      <c r="B894" s="125"/>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row>
    <row r="895" spans="1:33" ht="14.25" customHeight="1" x14ac:dyDescent="0.3">
      <c r="A895" s="124"/>
      <c r="B895" s="125"/>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row>
    <row r="896" spans="1:33" ht="14.25" customHeight="1" x14ac:dyDescent="0.3">
      <c r="A896" s="124"/>
      <c r="B896" s="125"/>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row>
    <row r="897" spans="1:33" ht="14.25" customHeight="1" x14ac:dyDescent="0.3">
      <c r="A897" s="124"/>
      <c r="B897" s="125"/>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row>
    <row r="898" spans="1:33" ht="14.25" customHeight="1" x14ac:dyDescent="0.3">
      <c r="A898" s="124"/>
      <c r="B898" s="125"/>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row>
    <row r="899" spans="1:33" ht="14.25" customHeight="1" x14ac:dyDescent="0.3">
      <c r="A899" s="124"/>
      <c r="B899" s="125"/>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row>
    <row r="900" spans="1:33" ht="14.25" customHeight="1" x14ac:dyDescent="0.3">
      <c r="A900" s="124"/>
      <c r="B900" s="125"/>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row>
    <row r="901" spans="1:33" ht="14.25" customHeight="1" x14ac:dyDescent="0.3">
      <c r="A901" s="124"/>
      <c r="B901" s="125"/>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row>
    <row r="902" spans="1:33" ht="14.25" customHeight="1" x14ac:dyDescent="0.3">
      <c r="A902" s="124"/>
      <c r="B902" s="125"/>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row>
    <row r="903" spans="1:33" ht="14.25" customHeight="1" x14ac:dyDescent="0.3">
      <c r="A903" s="124"/>
      <c r="B903" s="125"/>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row>
    <row r="904" spans="1:33" ht="14.25" customHeight="1" x14ac:dyDescent="0.3">
      <c r="A904" s="124"/>
      <c r="B904" s="125"/>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row>
    <row r="905" spans="1:33" ht="14.25" customHeight="1" x14ac:dyDescent="0.3">
      <c r="A905" s="124"/>
      <c r="B905" s="125"/>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row>
    <row r="906" spans="1:33" ht="14.25" customHeight="1" x14ac:dyDescent="0.3">
      <c r="A906" s="124"/>
      <c r="B906" s="125"/>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row>
    <row r="907" spans="1:33" ht="14.25" customHeight="1" x14ac:dyDescent="0.3">
      <c r="A907" s="124"/>
      <c r="B907" s="125"/>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row>
    <row r="908" spans="1:33" ht="14.25" customHeight="1" x14ac:dyDescent="0.3">
      <c r="A908" s="124"/>
      <c r="B908" s="125"/>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row>
    <row r="909" spans="1:33" ht="14.25" customHeight="1" x14ac:dyDescent="0.3">
      <c r="A909" s="124"/>
      <c r="B909" s="125"/>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row>
    <row r="910" spans="1:33" ht="14.25" customHeight="1" x14ac:dyDescent="0.3">
      <c r="A910" s="124"/>
      <c r="B910" s="125"/>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row>
    <row r="911" spans="1:33" ht="14.25" customHeight="1" x14ac:dyDescent="0.3">
      <c r="A911" s="124"/>
      <c r="B911" s="125"/>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row>
    <row r="912" spans="1:33" ht="14.25" customHeight="1" x14ac:dyDescent="0.3">
      <c r="A912" s="124"/>
      <c r="B912" s="125"/>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row>
    <row r="913" spans="1:33" ht="14.25" customHeight="1" x14ac:dyDescent="0.3">
      <c r="A913" s="124"/>
      <c r="B913" s="125"/>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row>
    <row r="914" spans="1:33" ht="14.25" customHeight="1" x14ac:dyDescent="0.3">
      <c r="A914" s="124"/>
      <c r="B914" s="125"/>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row>
    <row r="915" spans="1:33" ht="14.25" customHeight="1" x14ac:dyDescent="0.3">
      <c r="A915" s="124"/>
      <c r="B915" s="125"/>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row>
    <row r="916" spans="1:33" ht="14.25" customHeight="1" x14ac:dyDescent="0.3">
      <c r="A916" s="124"/>
      <c r="B916" s="125"/>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row>
    <row r="917" spans="1:33" ht="14.25" customHeight="1" x14ac:dyDescent="0.3">
      <c r="A917" s="124"/>
      <c r="B917" s="125"/>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row>
    <row r="918" spans="1:33" ht="14.25" customHeight="1" x14ac:dyDescent="0.3">
      <c r="A918" s="124"/>
      <c r="B918" s="125"/>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row>
    <row r="919" spans="1:33" ht="14.25" customHeight="1" x14ac:dyDescent="0.3">
      <c r="A919" s="124"/>
      <c r="B919" s="125"/>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row>
    <row r="920" spans="1:33" ht="14.25" customHeight="1" x14ac:dyDescent="0.3">
      <c r="A920" s="124"/>
      <c r="B920" s="125"/>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row>
    <row r="921" spans="1:33" ht="14.25" customHeight="1" x14ac:dyDescent="0.3">
      <c r="A921" s="124"/>
      <c r="B921" s="125"/>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row>
    <row r="922" spans="1:33" ht="14.25" customHeight="1" x14ac:dyDescent="0.3">
      <c r="A922" s="124"/>
      <c r="B922" s="125"/>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row>
    <row r="923" spans="1:33" ht="14.25" customHeight="1" x14ac:dyDescent="0.3">
      <c r="A923" s="124"/>
      <c r="B923" s="125"/>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row>
    <row r="924" spans="1:33" ht="14.25" customHeight="1" x14ac:dyDescent="0.3">
      <c r="A924" s="124"/>
      <c r="B924" s="125"/>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row>
    <row r="925" spans="1:33" ht="14.25" customHeight="1" x14ac:dyDescent="0.3">
      <c r="A925" s="124"/>
      <c r="B925" s="125"/>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row>
    <row r="926" spans="1:33" ht="14.25" customHeight="1" x14ac:dyDescent="0.3">
      <c r="A926" s="124"/>
      <c r="B926" s="125"/>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row>
    <row r="927" spans="1:33" ht="14.25" customHeight="1" x14ac:dyDescent="0.3">
      <c r="A927" s="124"/>
      <c r="B927" s="125"/>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row>
    <row r="928" spans="1:33" ht="14.25" customHeight="1" x14ac:dyDescent="0.3">
      <c r="A928" s="124"/>
      <c r="B928" s="125"/>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row>
    <row r="929" spans="1:33" ht="14.25" customHeight="1" x14ac:dyDescent="0.3">
      <c r="A929" s="124"/>
      <c r="B929" s="125"/>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row>
    <row r="930" spans="1:33" ht="14.25" customHeight="1" x14ac:dyDescent="0.3">
      <c r="A930" s="124"/>
      <c r="B930" s="125"/>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row>
    <row r="931" spans="1:33" ht="14.25" customHeight="1" x14ac:dyDescent="0.3">
      <c r="A931" s="124"/>
      <c r="B931" s="125"/>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row>
    <row r="932" spans="1:33" ht="14.25" customHeight="1" x14ac:dyDescent="0.3">
      <c r="A932" s="124"/>
      <c r="B932" s="125"/>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row>
    <row r="933" spans="1:33" ht="14.25" customHeight="1" x14ac:dyDescent="0.3">
      <c r="A933" s="124"/>
      <c r="B933" s="125"/>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row>
    <row r="934" spans="1:33" ht="14.25" customHeight="1" x14ac:dyDescent="0.3">
      <c r="A934" s="124"/>
      <c r="B934" s="125"/>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row>
    <row r="935" spans="1:33" ht="14.25" customHeight="1" x14ac:dyDescent="0.3">
      <c r="A935" s="124"/>
      <c r="B935" s="125"/>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row>
    <row r="936" spans="1:33" ht="14.25" customHeight="1" x14ac:dyDescent="0.3">
      <c r="A936" s="124"/>
      <c r="B936" s="125"/>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row>
    <row r="937" spans="1:33" ht="14.25" customHeight="1" x14ac:dyDescent="0.3">
      <c r="A937" s="124"/>
      <c r="B937" s="125"/>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row>
    <row r="938" spans="1:33" ht="14.25" customHeight="1" x14ac:dyDescent="0.3">
      <c r="A938" s="124"/>
      <c r="B938" s="125"/>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row>
    <row r="939" spans="1:33" ht="14.25" customHeight="1" x14ac:dyDescent="0.3">
      <c r="A939" s="124"/>
      <c r="B939" s="125"/>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row>
    <row r="940" spans="1:33" ht="14.25" customHeight="1" x14ac:dyDescent="0.3">
      <c r="A940" s="124"/>
      <c r="B940" s="125"/>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row>
    <row r="941" spans="1:33" ht="14.25" customHeight="1" x14ac:dyDescent="0.3">
      <c r="A941" s="124"/>
      <c r="B941" s="125"/>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row>
    <row r="942" spans="1:33" ht="14.25" customHeight="1" x14ac:dyDescent="0.3">
      <c r="A942" s="124"/>
      <c r="B942" s="125"/>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row>
    <row r="943" spans="1:33" ht="14.25" customHeight="1" x14ac:dyDescent="0.3">
      <c r="A943" s="124"/>
      <c r="B943" s="125"/>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row>
    <row r="944" spans="1:33" ht="14.25" customHeight="1" x14ac:dyDescent="0.3">
      <c r="A944" s="124"/>
      <c r="B944" s="125"/>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row>
    <row r="945" spans="1:33" ht="14.25" customHeight="1" x14ac:dyDescent="0.3">
      <c r="A945" s="124"/>
      <c r="B945" s="125"/>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row>
    <row r="946" spans="1:33" ht="14.25" customHeight="1" x14ac:dyDescent="0.3">
      <c r="A946" s="124"/>
      <c r="B946" s="125"/>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row>
    <row r="947" spans="1:33" ht="14.25" customHeight="1" x14ac:dyDescent="0.3">
      <c r="A947" s="124"/>
      <c r="B947" s="125"/>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row>
    <row r="948" spans="1:33" ht="14.25" customHeight="1" x14ac:dyDescent="0.3">
      <c r="A948" s="124"/>
      <c r="B948" s="125"/>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row>
    <row r="949" spans="1:33" ht="14.25" customHeight="1" x14ac:dyDescent="0.3">
      <c r="A949" s="124"/>
      <c r="B949" s="125"/>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row>
    <row r="950" spans="1:33" ht="14.25" customHeight="1" x14ac:dyDescent="0.3">
      <c r="A950" s="124"/>
      <c r="B950" s="125"/>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row>
    <row r="951" spans="1:33" ht="14.25" customHeight="1" x14ac:dyDescent="0.3">
      <c r="A951" s="124"/>
      <c r="B951" s="125"/>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row>
    <row r="952" spans="1:33" ht="14.25" customHeight="1" x14ac:dyDescent="0.3">
      <c r="A952" s="124"/>
      <c r="B952" s="125"/>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row>
    <row r="953" spans="1:33" ht="14.25" customHeight="1" x14ac:dyDescent="0.3">
      <c r="A953" s="124"/>
      <c r="B953" s="125"/>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row>
    <row r="954" spans="1:33" ht="14.25" customHeight="1" x14ac:dyDescent="0.3">
      <c r="A954" s="124"/>
      <c r="B954" s="125"/>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row>
    <row r="955" spans="1:33" ht="14.25" customHeight="1" x14ac:dyDescent="0.3">
      <c r="A955" s="124"/>
      <c r="B955" s="125"/>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row>
    <row r="956" spans="1:33" ht="14.25" customHeight="1" x14ac:dyDescent="0.3">
      <c r="A956" s="124"/>
      <c r="B956" s="125"/>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row>
    <row r="957" spans="1:33" ht="14.25" customHeight="1" x14ac:dyDescent="0.3">
      <c r="A957" s="124"/>
      <c r="B957" s="125"/>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row>
    <row r="958" spans="1:33" ht="14.25" customHeight="1" x14ac:dyDescent="0.3">
      <c r="A958" s="124"/>
      <c r="B958" s="125"/>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row>
    <row r="959" spans="1:33" ht="14.25" customHeight="1" x14ac:dyDescent="0.3">
      <c r="A959" s="124"/>
      <c r="B959" s="125"/>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row>
    <row r="960" spans="1:33" ht="14.25" customHeight="1" x14ac:dyDescent="0.3">
      <c r="A960" s="124"/>
      <c r="B960" s="125"/>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row>
    <row r="961" spans="1:33" ht="14.25" customHeight="1" x14ac:dyDescent="0.3">
      <c r="A961" s="124"/>
      <c r="B961" s="125"/>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row>
    <row r="962" spans="1:33" ht="14.25" customHeight="1" x14ac:dyDescent="0.3">
      <c r="A962" s="124"/>
      <c r="B962" s="125"/>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row>
    <row r="963" spans="1:33" ht="14.25" customHeight="1" x14ac:dyDescent="0.3">
      <c r="A963" s="124"/>
      <c r="B963" s="125"/>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row>
    <row r="964" spans="1:33" ht="14.25" customHeight="1" x14ac:dyDescent="0.3">
      <c r="A964" s="124"/>
      <c r="B964" s="125"/>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row>
    <row r="965" spans="1:33" ht="14.25" customHeight="1" x14ac:dyDescent="0.3">
      <c r="A965" s="124"/>
      <c r="B965" s="125"/>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row>
    <row r="966" spans="1:33" ht="14.25" customHeight="1" x14ac:dyDescent="0.3">
      <c r="A966" s="124"/>
      <c r="B966" s="125"/>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row>
    <row r="967" spans="1:33" ht="14.25" customHeight="1" x14ac:dyDescent="0.3">
      <c r="A967" s="124"/>
      <c r="B967" s="125"/>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row>
    <row r="968" spans="1:33" ht="14.25" customHeight="1" x14ac:dyDescent="0.3">
      <c r="A968" s="124"/>
      <c r="B968" s="125"/>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row>
    <row r="969" spans="1:33" ht="14.25" customHeight="1" x14ac:dyDescent="0.3">
      <c r="A969" s="124"/>
      <c r="B969" s="125"/>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row>
    <row r="970" spans="1:33" ht="14.25" customHeight="1" x14ac:dyDescent="0.3">
      <c r="A970" s="124"/>
      <c r="B970" s="125"/>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row>
    <row r="971" spans="1:33" ht="14.25" customHeight="1" x14ac:dyDescent="0.3">
      <c r="A971" s="124"/>
      <c r="B971" s="125"/>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row>
    <row r="972" spans="1:33" ht="14.25" customHeight="1" x14ac:dyDescent="0.3">
      <c r="A972" s="124"/>
      <c r="B972" s="125"/>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row>
    <row r="973" spans="1:33" ht="14.25" customHeight="1" x14ac:dyDescent="0.3">
      <c r="A973" s="124"/>
      <c r="B973" s="125"/>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row>
    <row r="974" spans="1:33" ht="14.25" customHeight="1" x14ac:dyDescent="0.3">
      <c r="A974" s="124"/>
      <c r="B974" s="125"/>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row>
    <row r="975" spans="1:33" ht="14.25" customHeight="1" x14ac:dyDescent="0.3">
      <c r="A975" s="124"/>
      <c r="B975" s="125"/>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row>
    <row r="976" spans="1:33" ht="14.25" customHeight="1" x14ac:dyDescent="0.3">
      <c r="A976" s="124"/>
      <c r="B976" s="125"/>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row>
    <row r="977" spans="1:33" ht="14.25" customHeight="1" x14ac:dyDescent="0.3">
      <c r="A977" s="124"/>
      <c r="B977" s="125"/>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row>
    <row r="978" spans="1:33" ht="14.25" customHeight="1" x14ac:dyDescent="0.3">
      <c r="A978" s="124"/>
      <c r="B978" s="125"/>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row>
    <row r="979" spans="1:33" ht="14.25" customHeight="1" x14ac:dyDescent="0.3">
      <c r="A979" s="124"/>
      <c r="B979" s="125"/>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row>
    <row r="980" spans="1:33" ht="14.25" customHeight="1" x14ac:dyDescent="0.3">
      <c r="A980" s="124"/>
      <c r="B980" s="125"/>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row>
    <row r="981" spans="1:33" ht="14.25" customHeight="1" x14ac:dyDescent="0.3">
      <c r="A981" s="124"/>
      <c r="B981" s="125"/>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row>
    <row r="982" spans="1:33" ht="14.25" customHeight="1" x14ac:dyDescent="0.3">
      <c r="A982" s="124"/>
      <c r="B982" s="125"/>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row>
    <row r="983" spans="1:33" ht="14.25" customHeight="1" x14ac:dyDescent="0.3">
      <c r="A983" s="124"/>
      <c r="B983" s="125"/>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row>
    <row r="984" spans="1:33" ht="14.25" customHeight="1" x14ac:dyDescent="0.3">
      <c r="A984" s="124"/>
      <c r="B984" s="125"/>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row>
    <row r="985" spans="1:33" ht="14.25" customHeight="1" x14ac:dyDescent="0.3">
      <c r="A985" s="124"/>
      <c r="B985" s="125"/>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row>
    <row r="986" spans="1:33" ht="14.25" customHeight="1" x14ac:dyDescent="0.3">
      <c r="A986" s="124"/>
      <c r="B986" s="125"/>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row>
    <row r="987" spans="1:33" ht="14.25" customHeight="1" x14ac:dyDescent="0.3">
      <c r="A987" s="124"/>
      <c r="B987" s="125"/>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row>
    <row r="988" spans="1:33" ht="14.25" customHeight="1" x14ac:dyDescent="0.3">
      <c r="A988" s="124"/>
      <c r="B988" s="125"/>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row>
    <row r="989" spans="1:33" ht="14.25" customHeight="1" x14ac:dyDescent="0.3">
      <c r="A989" s="124"/>
      <c r="B989" s="125"/>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row>
    <row r="990" spans="1:33" ht="14.25" customHeight="1" x14ac:dyDescent="0.3">
      <c r="A990" s="124"/>
      <c r="B990" s="125"/>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row>
    <row r="991" spans="1:33" ht="14.25" customHeight="1" x14ac:dyDescent="0.3">
      <c r="A991" s="124"/>
      <c r="B991" s="125"/>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row>
    <row r="992" spans="1:33" ht="14.25" customHeight="1" x14ac:dyDescent="0.3">
      <c r="A992" s="124"/>
      <c r="B992" s="125"/>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row>
    <row r="993" spans="1:33" ht="14.25" customHeight="1" x14ac:dyDescent="0.3">
      <c r="A993" s="124"/>
      <c r="B993" s="125"/>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row>
    <row r="994" spans="1:33" ht="14.25" customHeight="1" x14ac:dyDescent="0.3">
      <c r="A994" s="124"/>
      <c r="B994" s="125"/>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row>
    <row r="995" spans="1:33" ht="14.25" customHeight="1" x14ac:dyDescent="0.3">
      <c r="A995" s="124"/>
      <c r="B995" s="125"/>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row>
    <row r="996" spans="1:33" ht="14.25" customHeight="1" x14ac:dyDescent="0.3">
      <c r="A996" s="124"/>
      <c r="B996" s="125"/>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row>
    <row r="997" spans="1:33" ht="14.25" customHeight="1" x14ac:dyDescent="0.3">
      <c r="A997" s="124"/>
      <c r="B997" s="125"/>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row>
    <row r="998" spans="1:33" ht="14.25" customHeight="1" x14ac:dyDescent="0.3">
      <c r="A998" s="124"/>
      <c r="B998" s="125"/>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row>
    <row r="999" spans="1:33" ht="14.25" customHeight="1" x14ac:dyDescent="0.3">
      <c r="A999" s="124"/>
      <c r="B999" s="125"/>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row>
    <row r="1000" spans="1:33" ht="14.25" customHeight="1" x14ac:dyDescent="0.3">
      <c r="A1000" s="124"/>
      <c r="B1000" s="125"/>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row>
    <row r="1001" spans="1:33" ht="14.25" customHeight="1" x14ac:dyDescent="0.3">
      <c r="A1001" s="124"/>
      <c r="B1001" s="125"/>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A6A6"/>
  </sheetPr>
  <dimension ref="A1:Z1000"/>
  <sheetViews>
    <sheetView showGridLines="0" zoomScaleNormal="100" workbookViewId="0">
      <pane xSplit="2" ySplit="2" topLeftCell="C22" activePane="bottomRight" state="frozen"/>
      <selection pane="topRight" activeCell="C1" sqref="C1"/>
      <selection pane="bottomLeft" activeCell="A21" sqref="A21"/>
      <selection pane="bottomRight" activeCell="E34" sqref="E34"/>
    </sheetView>
  </sheetViews>
  <sheetFormatPr defaultColWidth="12.6640625" defaultRowHeight="14.4" x14ac:dyDescent="0.3"/>
  <cols>
    <col min="1" max="1" width="5.109375" style="20" customWidth="1"/>
    <col min="2" max="2" width="51.77734375" style="20" customWidth="1"/>
    <col min="3" max="7" width="10.33203125" style="20" customWidth="1"/>
    <col min="8" max="12" width="11.109375" style="20" customWidth="1"/>
    <col min="13" max="13" width="8.88671875" style="20" customWidth="1"/>
    <col min="14" max="14" width="10.109375" style="20" customWidth="1"/>
    <col min="15" max="15" width="7.88671875" style="20" customWidth="1"/>
    <col min="16" max="26" width="8.44140625" style="20" customWidth="1"/>
    <col min="27" max="16384" width="12.6640625" style="20"/>
  </cols>
  <sheetData>
    <row r="1" spans="1:26" ht="14.25" customHeight="1" x14ac:dyDescent="0.3">
      <c r="B1" s="93"/>
      <c r="C1" s="141" t="s">
        <v>98</v>
      </c>
      <c r="D1" s="142" t="s">
        <v>98</v>
      </c>
      <c r="E1" s="142" t="s">
        <v>98</v>
      </c>
      <c r="F1" s="142" t="s">
        <v>98</v>
      </c>
      <c r="G1" s="143" t="s">
        <v>98</v>
      </c>
      <c r="H1" s="144" t="s">
        <v>259</v>
      </c>
      <c r="I1" s="145" t="s">
        <v>259</v>
      </c>
      <c r="J1" s="145" t="s">
        <v>259</v>
      </c>
      <c r="K1" s="145" t="s">
        <v>259</v>
      </c>
      <c r="L1" s="146" t="s">
        <v>259</v>
      </c>
    </row>
    <row r="2" spans="1:26" ht="14.25" customHeight="1" x14ac:dyDescent="0.3">
      <c r="B2" s="105" t="s">
        <v>260</v>
      </c>
      <c r="C2" s="29">
        <v>44286</v>
      </c>
      <c r="D2" s="30">
        <v>44651</v>
      </c>
      <c r="E2" s="30">
        <v>45016</v>
      </c>
      <c r="F2" s="30">
        <v>45382</v>
      </c>
      <c r="G2" s="31">
        <v>45747</v>
      </c>
      <c r="H2" s="29">
        <v>46112</v>
      </c>
      <c r="I2" s="30">
        <v>46477</v>
      </c>
      <c r="J2" s="30">
        <v>46843</v>
      </c>
      <c r="K2" s="30">
        <v>47208</v>
      </c>
      <c r="L2" s="31">
        <v>47573</v>
      </c>
    </row>
    <row r="3" spans="1:26" ht="14.25" customHeight="1" x14ac:dyDescent="0.3">
      <c r="A3" s="95"/>
      <c r="B3" s="147" t="s">
        <v>261</v>
      </c>
      <c r="C3" s="100"/>
      <c r="D3" s="95"/>
      <c r="E3" s="95"/>
      <c r="F3" s="95"/>
      <c r="G3" s="101"/>
      <c r="H3" s="100"/>
      <c r="I3" s="95"/>
      <c r="J3" s="95"/>
      <c r="K3" s="95"/>
      <c r="L3" s="101"/>
    </row>
    <row r="4" spans="1:26" ht="14.25" customHeight="1" x14ac:dyDescent="0.3">
      <c r="B4" s="65" t="s">
        <v>262</v>
      </c>
      <c r="C4" s="82"/>
      <c r="D4" s="37">
        <f>'INCOME STATEMENT'!D53</f>
        <v>772.69000000000074</v>
      </c>
      <c r="E4" s="37">
        <f>'INCOME STATEMENT'!E53</f>
        <v>1429.3299999999995</v>
      </c>
      <c r="F4" s="37">
        <f>'INCOME STATEMENT'!F53</f>
        <v>2461.3799999999997</v>
      </c>
      <c r="G4" s="38">
        <f>'INCOME STATEMENT'!G53</f>
        <v>3109.2000000000003</v>
      </c>
      <c r="H4" s="36">
        <f>'INCOME STATEMENT'!H53</f>
        <v>2690.4874050668554</v>
      </c>
      <c r="I4" s="37">
        <f>'INCOME STATEMENT'!I53</f>
        <v>3284.3806356470081</v>
      </c>
      <c r="J4" s="37">
        <f>'INCOME STATEMENT'!J53</f>
        <v>4277.5727522157413</v>
      </c>
      <c r="K4" s="37">
        <f>'INCOME STATEMENT'!K53</f>
        <v>5252.5943754376258</v>
      </c>
      <c r="L4" s="38">
        <f>'INCOME STATEMENT'!L53</f>
        <v>6480.7132953749615</v>
      </c>
    </row>
    <row r="5" spans="1:26" ht="14.25" customHeight="1" x14ac:dyDescent="0.3">
      <c r="B5" s="148"/>
      <c r="C5" s="82"/>
      <c r="D5" s="83"/>
      <c r="E5" s="83"/>
      <c r="F5" s="83"/>
      <c r="G5" s="108"/>
      <c r="H5" s="107"/>
      <c r="I5" s="83"/>
      <c r="J5" s="83"/>
      <c r="K5" s="83"/>
      <c r="L5" s="108"/>
    </row>
    <row r="6" spans="1:26" ht="14.25" customHeight="1" x14ac:dyDescent="0.3">
      <c r="B6" s="149" t="s">
        <v>263</v>
      </c>
      <c r="C6" s="150"/>
      <c r="G6" s="104"/>
      <c r="H6" s="103"/>
      <c r="L6" s="104"/>
    </row>
    <row r="7" spans="1:26" ht="14.25" customHeight="1" x14ac:dyDescent="0.3">
      <c r="B7" s="65" t="s">
        <v>264</v>
      </c>
      <c r="C7" s="82"/>
      <c r="D7" s="37">
        <f>'INCOME STATEMENT'!D34</f>
        <v>74.509999999999991</v>
      </c>
      <c r="E7" s="37">
        <f>'INCOME STATEMENT'!E34</f>
        <v>75.580000000000013</v>
      </c>
      <c r="F7" s="37">
        <f>'INCOME STATEMENT'!F34</f>
        <v>83.13000000000001</v>
      </c>
      <c r="G7" s="38">
        <f>'INCOME STATEMENT'!G34</f>
        <v>115.19</v>
      </c>
      <c r="H7" s="36">
        <f>'INCOME STATEMENT'!H34</f>
        <v>100.79367730565158</v>
      </c>
      <c r="I7" s="37">
        <f>'INCOME STATEMENT'!I34</f>
        <v>105.47308347380741</v>
      </c>
      <c r="J7" s="37">
        <f>'INCOME STATEMENT'!J34</f>
        <v>110.25537017967892</v>
      </c>
      <c r="K7" s="37">
        <f>'INCOME STATEMENT'!K34</f>
        <v>108.39913363836287</v>
      </c>
      <c r="L7" s="38">
        <f>'INCOME STATEMENT'!L34</f>
        <v>110.27304057564999</v>
      </c>
    </row>
    <row r="8" spans="1:26" ht="14.25" customHeight="1" x14ac:dyDescent="0.3">
      <c r="B8" s="65" t="s">
        <v>265</v>
      </c>
      <c r="C8" s="82"/>
      <c r="D8" s="37">
        <f>-'INCOME STATEMENT'!D42</f>
        <v>7.16</v>
      </c>
      <c r="E8" s="37">
        <f>-'INCOME STATEMENT'!E42</f>
        <v>6.3699999999999992</v>
      </c>
      <c r="F8" s="37">
        <f>-'INCOME STATEMENT'!F42</f>
        <v>5.12</v>
      </c>
      <c r="G8" s="38">
        <f>-'INCOME STATEMENT'!G42</f>
        <v>4.3999999999999995</v>
      </c>
      <c r="H8" s="36">
        <f>-'INCOME STATEMENT'!H42</f>
        <v>5.512355886614535</v>
      </c>
      <c r="I8" s="37">
        <f>-'INCOME STATEMENT'!I42</f>
        <v>5.4041863200353939</v>
      </c>
      <c r="J8" s="37">
        <f>-'INCOME STATEMENT'!J42</f>
        <v>5.4154386697203956</v>
      </c>
      <c r="K8" s="37">
        <f>-'INCOME STATEMENT'!K42</f>
        <v>5.4439689765481765</v>
      </c>
      <c r="L8" s="38">
        <f>-'INCOME STATEMENT'!L42</f>
        <v>5.4212005496420996</v>
      </c>
    </row>
    <row r="9" spans="1:26" ht="14.25" customHeight="1" x14ac:dyDescent="0.3">
      <c r="B9" s="65" t="s">
        <v>266</v>
      </c>
      <c r="C9" s="82"/>
      <c r="D9" s="37">
        <v>0.15</v>
      </c>
      <c r="E9" s="37">
        <v>0.15</v>
      </c>
      <c r="F9" s="37">
        <v>0.15</v>
      </c>
      <c r="G9" s="38">
        <v>0</v>
      </c>
      <c r="H9" s="39">
        <f>'ASSUMPTIONS AND REASONING'!J50</f>
        <v>0</v>
      </c>
      <c r="I9" s="40">
        <f>'ASSUMPTIONS AND REASONING'!K50</f>
        <v>0</v>
      </c>
      <c r="J9" s="40">
        <f>'ASSUMPTIONS AND REASONING'!L50</f>
        <v>0</v>
      </c>
      <c r="K9" s="40">
        <f>'ASSUMPTIONS AND REASONING'!M50</f>
        <v>0</v>
      </c>
      <c r="L9" s="41">
        <f>'ASSUMPTIONS AND REASONING'!N50</f>
        <v>0</v>
      </c>
      <c r="U9" s="43"/>
      <c r="V9" s="43"/>
      <c r="W9" s="43"/>
      <c r="X9" s="43"/>
      <c r="Y9" s="43"/>
      <c r="Z9" s="43"/>
    </row>
    <row r="10" spans="1:26" ht="14.25" customHeight="1" x14ac:dyDescent="0.3">
      <c r="B10" s="65" t="s">
        <v>267</v>
      </c>
      <c r="C10" s="82"/>
      <c r="D10" s="37">
        <v>0</v>
      </c>
      <c r="E10" s="37">
        <v>0</v>
      </c>
      <c r="F10" s="37">
        <v>0.02</v>
      </c>
      <c r="G10" s="38">
        <v>1.27</v>
      </c>
      <c r="H10" s="39">
        <f>'ASSUMPTIONS AND REASONING'!J51</f>
        <v>0</v>
      </c>
      <c r="I10" s="40">
        <f>'ASSUMPTIONS AND REASONING'!K51</f>
        <v>0</v>
      </c>
      <c r="J10" s="40">
        <f>'ASSUMPTIONS AND REASONING'!L51</f>
        <v>0</v>
      </c>
      <c r="K10" s="40">
        <f>'ASSUMPTIONS AND REASONING'!M51</f>
        <v>0</v>
      </c>
      <c r="L10" s="41">
        <f>'ASSUMPTIONS AND REASONING'!N51</f>
        <v>0</v>
      </c>
    </row>
    <row r="11" spans="1:26" ht="14.25" customHeight="1" x14ac:dyDescent="0.3">
      <c r="B11" s="148"/>
      <c r="C11" s="82"/>
      <c r="D11" s="83"/>
      <c r="E11" s="83"/>
      <c r="F11" s="83"/>
      <c r="G11" s="108"/>
      <c r="H11" s="103"/>
      <c r="L11" s="104"/>
    </row>
    <row r="12" spans="1:26" ht="14.25" customHeight="1" x14ac:dyDescent="0.3">
      <c r="B12" s="149" t="s">
        <v>268</v>
      </c>
      <c r="C12" s="150"/>
      <c r="G12" s="104"/>
      <c r="H12" s="103"/>
      <c r="L12" s="104"/>
    </row>
    <row r="13" spans="1:26" ht="14.25" customHeight="1" x14ac:dyDescent="0.3">
      <c r="B13" s="65" t="s">
        <v>269</v>
      </c>
      <c r="C13" s="82"/>
      <c r="D13" s="37">
        <v>2.56</v>
      </c>
      <c r="E13" s="37">
        <v>-0.9</v>
      </c>
      <c r="F13" s="37">
        <v>-1.48</v>
      </c>
      <c r="G13" s="38">
        <v>-0.79</v>
      </c>
      <c r="H13" s="151">
        <f>-'INCOME STATEMENT'!H50</f>
        <v>0</v>
      </c>
      <c r="I13" s="132">
        <f>-'INCOME STATEMENT'!I50</f>
        <v>0</v>
      </c>
      <c r="J13" s="132">
        <f>-'INCOME STATEMENT'!J50</f>
        <v>0</v>
      </c>
      <c r="K13" s="132">
        <f>-'INCOME STATEMENT'!K50</f>
        <v>0</v>
      </c>
      <c r="L13" s="152">
        <f>-'INCOME STATEMENT'!L50</f>
        <v>0</v>
      </c>
    </row>
    <row r="14" spans="1:26" ht="14.25" customHeight="1" x14ac:dyDescent="0.3">
      <c r="B14" s="65" t="s">
        <v>270</v>
      </c>
      <c r="C14" s="82"/>
      <c r="D14" s="37">
        <f>-'INCOME STATEMENT'!D45</f>
        <v>-23.36</v>
      </c>
      <c r="E14" s="37">
        <f>-'INCOME STATEMENT'!E45</f>
        <v>-26.65</v>
      </c>
      <c r="F14" s="37">
        <f>-'INCOME STATEMENT'!F45</f>
        <v>-36.549999999999997</v>
      </c>
      <c r="G14" s="38">
        <f>-'INCOME STATEMENT'!G45</f>
        <v>-47.54</v>
      </c>
      <c r="H14" s="36">
        <f>-'INCOME STATEMENT'!H45</f>
        <v>-50</v>
      </c>
      <c r="I14" s="37">
        <f>-'INCOME STATEMENT'!I45</f>
        <v>-50</v>
      </c>
      <c r="J14" s="37">
        <f>-'INCOME STATEMENT'!J45</f>
        <v>-50</v>
      </c>
      <c r="K14" s="37">
        <f>-'INCOME STATEMENT'!K45</f>
        <v>-50</v>
      </c>
      <c r="L14" s="38">
        <f>-'INCOME STATEMENT'!L45</f>
        <v>-50</v>
      </c>
    </row>
    <row r="15" spans="1:26" ht="14.25" customHeight="1" x14ac:dyDescent="0.3">
      <c r="B15" s="65" t="s">
        <v>271</v>
      </c>
      <c r="C15" s="82"/>
      <c r="D15" s="37">
        <v>-7.0000000000000007E-2</v>
      </c>
      <c r="E15" s="37">
        <v>-0.05</v>
      </c>
      <c r="F15" s="37">
        <v>-0.04</v>
      </c>
      <c r="G15" s="38">
        <v>-0.06</v>
      </c>
      <c r="H15" s="39">
        <f>'ASSUMPTIONS AND REASONING'!J52</f>
        <v>-0.06</v>
      </c>
      <c r="I15" s="40">
        <f>'ASSUMPTIONS AND REASONING'!K52</f>
        <v>-0.06</v>
      </c>
      <c r="J15" s="40">
        <f>'ASSUMPTIONS AND REASONING'!L52</f>
        <v>-0.06</v>
      </c>
      <c r="K15" s="40">
        <f>'ASSUMPTIONS AND REASONING'!M52</f>
        <v>-0.06</v>
      </c>
      <c r="L15" s="41">
        <f>'ASSUMPTIONS AND REASONING'!N52</f>
        <v>-0.06</v>
      </c>
    </row>
    <row r="16" spans="1:26" ht="14.25" customHeight="1" x14ac:dyDescent="0.3">
      <c r="B16" s="65" t="s">
        <v>272</v>
      </c>
      <c r="C16" s="82"/>
      <c r="D16" s="37">
        <v>-7.63</v>
      </c>
      <c r="E16" s="37">
        <v>-6.87</v>
      </c>
      <c r="F16" s="37">
        <v>-6.87</v>
      </c>
      <c r="G16" s="38">
        <v>-6.87</v>
      </c>
      <c r="H16" s="39">
        <f>'ASSUMPTIONS AND REASONING'!J53</f>
        <v>-6.87</v>
      </c>
      <c r="I16" s="40">
        <f>'ASSUMPTIONS AND REASONING'!K53</f>
        <v>-6.87</v>
      </c>
      <c r="J16" s="40">
        <f>'ASSUMPTIONS AND REASONING'!L53</f>
        <v>-6.87</v>
      </c>
      <c r="K16" s="40">
        <f>'ASSUMPTIONS AND REASONING'!M53</f>
        <v>-6.87</v>
      </c>
      <c r="L16" s="41">
        <f>'ASSUMPTIONS AND REASONING'!N53</f>
        <v>-6.87</v>
      </c>
    </row>
    <row r="17" spans="1:26" ht="14.25" customHeight="1" x14ac:dyDescent="0.3">
      <c r="B17" s="65" t="s">
        <v>273</v>
      </c>
      <c r="C17" s="82"/>
      <c r="D17" s="37">
        <v>-3.98</v>
      </c>
      <c r="E17" s="37">
        <v>-4.74</v>
      </c>
      <c r="F17" s="37">
        <v>-4.33</v>
      </c>
      <c r="G17" s="38">
        <v>-4.2699999999999996</v>
      </c>
      <c r="H17" s="39">
        <f>-'INCOME STATEMENT'!H39</f>
        <v>-4.4597136529241981</v>
      </c>
      <c r="I17" s="40">
        <f>-'INCOME STATEMENT'!I39</f>
        <v>-4.3531490062628331</v>
      </c>
      <c r="J17" s="40">
        <f>-'INCOME STATEMENT'!J39</f>
        <v>-4.3608543030329709</v>
      </c>
      <c r="K17" s="40">
        <f>-'INCOME STATEMENT'!K39</f>
        <v>-4.3912087233004762</v>
      </c>
      <c r="L17" s="41">
        <f>-'INCOME STATEMENT'!L39</f>
        <v>-4.3684010570258796</v>
      </c>
    </row>
    <row r="18" spans="1:26" ht="14.25" customHeight="1" x14ac:dyDescent="0.3">
      <c r="B18" s="65" t="s">
        <v>274</v>
      </c>
      <c r="C18" s="82"/>
      <c r="D18" s="37">
        <v>-0.22</v>
      </c>
      <c r="E18" s="37">
        <v>-0.23</v>
      </c>
      <c r="F18" s="37">
        <v>-0.25</v>
      </c>
      <c r="G18" s="38">
        <v>0</v>
      </c>
      <c r="H18" s="39">
        <f>'ASSUMPTIONS AND REASONING'!J54</f>
        <v>0</v>
      </c>
      <c r="I18" s="40">
        <f>'ASSUMPTIONS AND REASONING'!K54</f>
        <v>0</v>
      </c>
      <c r="J18" s="40">
        <f>'ASSUMPTIONS AND REASONING'!L54</f>
        <v>0</v>
      </c>
      <c r="K18" s="40">
        <f>'ASSUMPTIONS AND REASONING'!M54</f>
        <v>0</v>
      </c>
      <c r="L18" s="41">
        <f>'ASSUMPTIONS AND REASONING'!N54</f>
        <v>0</v>
      </c>
    </row>
    <row r="19" spans="1:26" ht="14.25" customHeight="1" x14ac:dyDescent="0.3">
      <c r="A19" s="43"/>
      <c r="B19" s="28" t="s">
        <v>275</v>
      </c>
      <c r="C19" s="153"/>
      <c r="D19" s="47">
        <f t="shared" ref="D19:L19" si="0">D4+SUM(D7:D18)</f>
        <v>821.81000000000074</v>
      </c>
      <c r="E19" s="47">
        <f t="shared" si="0"/>
        <v>1471.9899999999996</v>
      </c>
      <c r="F19" s="47">
        <f t="shared" si="0"/>
        <v>2500.2799999999997</v>
      </c>
      <c r="G19" s="48">
        <f t="shared" si="0"/>
        <v>3170.53</v>
      </c>
      <c r="H19" s="46">
        <f t="shared" si="0"/>
        <v>2735.4037246061976</v>
      </c>
      <c r="I19" s="47">
        <f t="shared" si="0"/>
        <v>3333.974756434588</v>
      </c>
      <c r="J19" s="47">
        <f t="shared" si="0"/>
        <v>4331.9527067621075</v>
      </c>
      <c r="K19" s="47">
        <f t="shared" si="0"/>
        <v>5305.1162693292363</v>
      </c>
      <c r="L19" s="48">
        <f t="shared" si="0"/>
        <v>6535.1091354432274</v>
      </c>
      <c r="M19" s="43"/>
      <c r="N19" s="43"/>
      <c r="O19" s="154"/>
      <c r="P19" s="43"/>
      <c r="Q19" s="43"/>
      <c r="R19" s="43"/>
      <c r="S19" s="43"/>
      <c r="T19" s="43"/>
    </row>
    <row r="20" spans="1:26" ht="14.25" customHeight="1" x14ac:dyDescent="0.3">
      <c r="A20" s="43"/>
      <c r="B20" s="155"/>
      <c r="C20" s="153"/>
      <c r="D20" s="117"/>
      <c r="E20" s="117"/>
      <c r="F20" s="117"/>
      <c r="G20" s="118"/>
      <c r="H20" s="116"/>
      <c r="I20" s="117"/>
      <c r="J20" s="117"/>
      <c r="K20" s="117"/>
      <c r="L20" s="118"/>
      <c r="M20" s="43"/>
      <c r="N20" s="43"/>
      <c r="O20" s="43"/>
      <c r="P20" s="43"/>
      <c r="Q20" s="43"/>
      <c r="R20" s="43"/>
      <c r="S20" s="43"/>
      <c r="T20" s="43"/>
    </row>
    <row r="21" spans="1:26" ht="14.25" customHeight="1" x14ac:dyDescent="0.3">
      <c r="B21" s="149" t="s">
        <v>276</v>
      </c>
      <c r="C21" s="150"/>
      <c r="G21" s="104"/>
      <c r="H21" s="103"/>
      <c r="L21" s="104"/>
    </row>
    <row r="22" spans="1:26" ht="14.25" customHeight="1" x14ac:dyDescent="0.3">
      <c r="B22" s="65" t="s">
        <v>277</v>
      </c>
      <c r="C22" s="82"/>
      <c r="D22" s="37">
        <f>'BALANCE SHEET'!C26-'BALANCE SHEET'!D26</f>
        <v>-1811.4900000000007</v>
      </c>
      <c r="E22" s="37">
        <f>'BALANCE SHEET'!D26-'BALANCE SHEET'!E26</f>
        <v>343.24000000000069</v>
      </c>
      <c r="F22" s="37">
        <f>'BALANCE SHEET'!E26-'BALANCE SHEET'!F26</f>
        <v>1643.4899999999998</v>
      </c>
      <c r="G22" s="38">
        <f>'BALANCE SHEET'!F26-'BALANCE SHEET'!G26</f>
        <v>1176.2899999999991</v>
      </c>
      <c r="H22" s="36">
        <f>'BALANCE SHEET'!G26-'BALANCE SHEET'!H26</f>
        <v>-465.62117795009181</v>
      </c>
      <c r="I22" s="37">
        <f>'BALANCE SHEET'!H26-'BALANCE SHEET'!I26</f>
        <v>329.98756316204708</v>
      </c>
      <c r="J22" s="37">
        <f>'BALANCE SHEET'!I26-'BALANCE SHEET'!J26</f>
        <v>345.71294899126042</v>
      </c>
      <c r="K22" s="37">
        <f>'BALANCE SHEET'!J26-'BALANCE SHEET'!K26</f>
        <v>-329.26688750679659</v>
      </c>
      <c r="L22" s="38">
        <f>'BALANCE SHEET'!K26-'BALANCE SHEET'!L26</f>
        <v>-682.95240560161528</v>
      </c>
    </row>
    <row r="23" spans="1:26" ht="14.25" customHeight="1" x14ac:dyDescent="0.3">
      <c r="B23" s="65" t="s">
        <v>278</v>
      </c>
      <c r="C23" s="82"/>
      <c r="D23" s="37">
        <f>('BALANCE SHEET'!C13+'BALANCE SHEET'!C28+'BALANCE SHEET'!C14+'BALANCE SHEET'!C31)-('BALANCE SHEET'!D13+'BALANCE SHEET'!D28+'BALANCE SHEET'!D14+'BALANCE SHEET'!D31)</f>
        <v>-32.53999999999985</v>
      </c>
      <c r="E23" s="37">
        <f>('BALANCE SHEET'!D13+'BALANCE SHEET'!D28+'BALANCE SHEET'!D14+'BALANCE SHEET'!D31)-('BALANCE SHEET'!E13+'BALANCE SHEET'!E28+'BALANCE SHEET'!E14+'BALANCE SHEET'!E31)</f>
        <v>2.7899999999999636</v>
      </c>
      <c r="F23" s="37">
        <f>('BALANCE SHEET'!E13+'BALANCE SHEET'!E28+'BALANCE SHEET'!E14+'BALANCE SHEET'!E31)-('BALANCE SHEET'!F13+'BALANCE SHEET'!F28+'BALANCE SHEET'!F14+'BALANCE SHEET'!F31)</f>
        <v>-864.23000000000013</v>
      </c>
      <c r="G23" s="38">
        <f>('BALANCE SHEET'!F13+'BALANCE SHEET'!F28+'BALANCE SHEET'!F14+'BALANCE SHEET'!F31)-('BALANCE SHEET'!G13+'BALANCE SHEET'!G28+'BALANCE SHEET'!G14+'BALANCE SHEET'!G31)</f>
        <v>779.6400000000001</v>
      </c>
      <c r="H23" s="36">
        <f>('BALANCE SHEET'!G13+'BALANCE SHEET'!G28+'BALANCE SHEET'!G14+'BALANCE SHEET'!G31)-('BALANCE SHEET'!H13+'BALANCE SHEET'!H28+'BALANCE SHEET'!H14+'BALANCE SHEET'!H31)</f>
        <v>-718.07235682607188</v>
      </c>
      <c r="I23" s="37">
        <f>('BALANCE SHEET'!H13+'BALANCE SHEET'!H28+'BALANCE SHEET'!H14+'BALANCE SHEET'!H31)-('BALANCE SHEET'!I13+'BALANCE SHEET'!I28+'BALANCE SHEET'!I14+'BALANCE SHEET'!I31)</f>
        <v>-177.05787673760346</v>
      </c>
      <c r="J23" s="37">
        <f>('BALANCE SHEET'!I13+'BALANCE SHEET'!I28+'BALANCE SHEET'!I14+'BALANCE SHEET'!I31)-('BALANCE SHEET'!J13+'BALANCE SHEET'!J28+'BALANCE SHEET'!J14+'BALANCE SHEET'!J31)</f>
        <v>94.652455995925266</v>
      </c>
      <c r="K23" s="37">
        <f>('BALANCE SHEET'!J13+'BALANCE SHEET'!J28+'BALANCE SHEET'!J14+'BALANCE SHEET'!J31)-('BALANCE SHEET'!K13+'BALANCE SHEET'!K28+'BALANCE SHEET'!K14+'BALANCE SHEET'!K31)</f>
        <v>-422.19834710349664</v>
      </c>
      <c r="L23" s="38">
        <f>('BALANCE SHEET'!K13+'BALANCE SHEET'!K28+'BALANCE SHEET'!K14+'BALANCE SHEET'!K31)-('BALANCE SHEET'!L13+'BALANCE SHEET'!L28+'BALANCE SHEET'!L14+'BALANCE SHEET'!L31)</f>
        <v>-319.71017844486596</v>
      </c>
    </row>
    <row r="24" spans="1:26" ht="14.25" customHeight="1" x14ac:dyDescent="0.3">
      <c r="B24" s="65" t="s">
        <v>279</v>
      </c>
      <c r="C24" s="82"/>
      <c r="D24" s="37">
        <f>('BALANCE SHEET'!C15+'BALANCE SHEET'!C17+'BALANCE SHEET'!C19+'BALANCE SHEET'!C33+'BALANCE SHEET'!C34+'BALANCE SHEET'!C35)-('BALANCE SHEET'!D15+'BALANCE SHEET'!D17+'BALANCE SHEET'!D19+'BALANCE SHEET'!D33+'BALANCE SHEET'!D34+'BALANCE SHEET'!D35)</f>
        <v>879.85000000000036</v>
      </c>
      <c r="E24" s="37">
        <f>('BALANCE SHEET'!D15+'BALANCE SHEET'!D17+'BALANCE SHEET'!D19+'BALANCE SHEET'!D33+'BALANCE SHEET'!D34+'BALANCE SHEET'!D35)-('BALANCE SHEET'!E15+'BALANCE SHEET'!E17+'BALANCE SHEET'!E19+'BALANCE SHEET'!E33+'BALANCE SHEET'!E34+'BALANCE SHEET'!E35)</f>
        <v>1936.8499999999995</v>
      </c>
      <c r="F24" s="37">
        <f>('BALANCE SHEET'!E15+'BALANCE SHEET'!E17+'BALANCE SHEET'!E19+'BALANCE SHEET'!E33+'BALANCE SHEET'!E34+'BALANCE SHEET'!E35)-('BALANCE SHEET'!F15+'BALANCE SHEET'!F17+'BALANCE SHEET'!F19+'BALANCE SHEET'!F33+'BALANCE SHEET'!F34+'BALANCE SHEET'!F35)</f>
        <v>739.15000000000055</v>
      </c>
      <c r="G24" s="38">
        <f>('BALANCE SHEET'!F15+'BALANCE SHEET'!F17+'BALANCE SHEET'!F19+'BALANCE SHEET'!F33+'BALANCE SHEET'!F34+'BALANCE SHEET'!F35)-('BALANCE SHEET'!G15+'BALANCE SHEET'!G17+'BALANCE SHEET'!G19+'BALANCE SHEET'!G33+'BALANCE SHEET'!G34+'BALANCE SHEET'!G35)</f>
        <v>1233.96</v>
      </c>
      <c r="H24" s="36">
        <f>('BALANCE SHEET'!G15+'BALANCE SHEET'!G17+'BALANCE SHEET'!G19+'BALANCE SHEET'!G33+'BALANCE SHEET'!G34+'BALANCE SHEET'!G35)-('BALANCE SHEET'!H15+'BALANCE SHEET'!H17+'BALANCE SHEET'!H19+'BALANCE SHEET'!H33+'BALANCE SHEET'!H34+'BALANCE SHEET'!H35)</f>
        <v>-2693.4335404473268</v>
      </c>
      <c r="I24" s="37">
        <f>('BALANCE SHEET'!H15+'BALANCE SHEET'!H17+'BALANCE SHEET'!H19+'BALANCE SHEET'!H33+'BALANCE SHEET'!H34+'BALANCE SHEET'!H35)-('BALANCE SHEET'!I15+'BALANCE SHEET'!I17+'BALANCE SHEET'!I19+'BALANCE SHEET'!I33+'BALANCE SHEET'!I34+'BALANCE SHEET'!I35)</f>
        <v>309.22213571418979</v>
      </c>
      <c r="J24" s="37">
        <f>('BALANCE SHEET'!I15+'BALANCE SHEET'!I17+'BALANCE SHEET'!I19+'BALANCE SHEET'!I33+'BALANCE SHEET'!I34+'BALANCE SHEET'!I35)-('BALANCE SHEET'!J15+'BALANCE SHEET'!J17+'BALANCE SHEET'!J19+'BALANCE SHEET'!J33+'BALANCE SHEET'!J34+'BALANCE SHEET'!J35)</f>
        <v>-31.632860263354814</v>
      </c>
      <c r="K24" s="37">
        <f>('BALANCE SHEET'!J15+'BALANCE SHEET'!J17+'BALANCE SHEET'!J19+'BALANCE SHEET'!J33+'BALANCE SHEET'!J34+'BALANCE SHEET'!J35)-('BALANCE SHEET'!K15+'BALANCE SHEET'!K17+'BALANCE SHEET'!K19+'BALANCE SHEET'!K33+'BALANCE SHEET'!K34+'BALANCE SHEET'!K35)</f>
        <v>-1297.3722598444283</v>
      </c>
      <c r="L24" s="38">
        <f>('BALANCE SHEET'!K15+'BALANCE SHEET'!K17+'BALANCE SHEET'!K19+'BALANCE SHEET'!K33+'BALANCE SHEET'!K34+'BALANCE SHEET'!K35)-('BALANCE SHEET'!L15+'BALANCE SHEET'!L17+'BALANCE SHEET'!L19+'BALANCE SHEET'!L33+'BALANCE SHEET'!L34+'BALANCE SHEET'!L35)</f>
        <v>-685.28351004273372</v>
      </c>
    </row>
    <row r="25" spans="1:26" ht="14.25" customHeight="1" x14ac:dyDescent="0.3">
      <c r="B25" s="65" t="s">
        <v>280</v>
      </c>
      <c r="C25" s="82"/>
      <c r="D25" s="37">
        <f>('BALANCE SHEET'!D49+'BALANCE SHEET'!D50+'BALANCE SHEET'!D62+'BALANCE SHEET'!D63+'BALANCE SHEET'!D55+'BALANCE SHEET'!D70)-('BALANCE SHEET'!C49+'BALANCE SHEET'!C50+'BALANCE SHEET'!C62+'BALANCE SHEET'!C63+'BALANCE SHEET'!C55+'BALANCE SHEET'!C70)</f>
        <v>-314.90999999999985</v>
      </c>
      <c r="E25" s="37">
        <f>('BALANCE SHEET'!E49+'BALANCE SHEET'!E50+'BALANCE SHEET'!E62+'BALANCE SHEET'!E63+'BALANCE SHEET'!E55+'BALANCE SHEET'!E70)-('BALANCE SHEET'!D49+'BALANCE SHEET'!D50+'BALANCE SHEET'!D62+'BALANCE SHEET'!D63+'BALANCE SHEET'!D55+'BALANCE SHEET'!D70)</f>
        <v>-1796.9900000000007</v>
      </c>
      <c r="F25" s="37">
        <f>('BALANCE SHEET'!F49+'BALANCE SHEET'!F50+'BALANCE SHEET'!F62+'BALANCE SHEET'!F63+'BALANCE SHEET'!F55+'BALANCE SHEET'!F70)-('BALANCE SHEET'!E49+'BALANCE SHEET'!E50+'BALANCE SHEET'!E62+'BALANCE SHEET'!E63+'BALANCE SHEET'!E55+'BALANCE SHEET'!E70)</f>
        <v>-1.6999999999998181</v>
      </c>
      <c r="G25" s="38">
        <f>('BALANCE SHEET'!G49+'BALANCE SHEET'!G50+'BALANCE SHEET'!G62+'BALANCE SHEET'!G63+'BALANCE SHEET'!G55+'BALANCE SHEET'!G70)-('BALANCE SHEET'!F49+'BALANCE SHEET'!F50+'BALANCE SHEET'!F62+'BALANCE SHEET'!F63+'BALANCE SHEET'!F55+'BALANCE SHEET'!F70)</f>
        <v>-221.02000000000044</v>
      </c>
      <c r="H25" s="36">
        <f>('BALANCE SHEET'!H49+'BALANCE SHEET'!H50+'BALANCE SHEET'!H62+'BALANCE SHEET'!H63+'BALANCE SHEET'!H55+'BALANCE SHEET'!H70)-('BALANCE SHEET'!G49+'BALANCE SHEET'!G50+'BALANCE SHEET'!G62+'BALANCE SHEET'!G63+'BALANCE SHEET'!G55+'BALANCE SHEET'!G70)</f>
        <v>472.76130090352035</v>
      </c>
      <c r="I25" s="37">
        <f>('BALANCE SHEET'!I49+'BALANCE SHEET'!I50+'BALANCE SHEET'!I62+'BALANCE SHEET'!I63+'BALANCE SHEET'!I55+'BALANCE SHEET'!I70)-('BALANCE SHEET'!H49+'BALANCE SHEET'!H50+'BALANCE SHEET'!H62+'BALANCE SHEET'!H63+'BALANCE SHEET'!H55+'BALANCE SHEET'!H70)</f>
        <v>-414.30189662349585</v>
      </c>
      <c r="J25" s="37">
        <f>('BALANCE SHEET'!J49+'BALANCE SHEET'!J50+'BALANCE SHEET'!J62+'BALANCE SHEET'!J63+'BALANCE SHEET'!J55+'BALANCE SHEET'!J70)-('BALANCE SHEET'!I49+'BALANCE SHEET'!I50+'BALANCE SHEET'!I62+'BALANCE SHEET'!I63+'BALANCE SHEET'!I55+'BALANCE SHEET'!I70)</f>
        <v>272.18250107530275</v>
      </c>
      <c r="K25" s="37">
        <f>('BALANCE SHEET'!K49+'BALANCE SHEET'!K50+'BALANCE SHEET'!K62+'BALANCE SHEET'!K63+'BALANCE SHEET'!K55+'BALANCE SHEET'!K70)-('BALANCE SHEET'!J49+'BALANCE SHEET'!J50+'BALANCE SHEET'!J62+'BALANCE SHEET'!J63+'BALANCE SHEET'!J55+'BALANCE SHEET'!J70)</f>
        <v>653.7379731610672</v>
      </c>
      <c r="L25" s="38">
        <f>('BALANCE SHEET'!L49+'BALANCE SHEET'!L50+'BALANCE SHEET'!L62+'BALANCE SHEET'!L63+'BALANCE SHEET'!L55+'BALANCE SHEET'!L70)-('BALANCE SHEET'!K49+'BALANCE SHEET'!K50+'BALANCE SHEET'!K62+'BALANCE SHEET'!K63+'BALANCE SHEET'!K55+'BALANCE SHEET'!K70)</f>
        <v>742.50065048568104</v>
      </c>
    </row>
    <row r="26" spans="1:26" ht="14.25" customHeight="1" x14ac:dyDescent="0.3">
      <c r="B26" s="105" t="s">
        <v>281</v>
      </c>
      <c r="C26" s="82"/>
      <c r="D26" s="37">
        <f>('BALANCE SHEET'!D51+'BALANCE SHEET'!D57+'BALANCE SHEET'!D64+'BALANCE SHEET'!D65+'BALANCE SHEET'!D66)-('BALANCE SHEET'!C51+'BALANCE SHEET'!C57+'BALANCE SHEET'!C64+'BALANCE SHEET'!C65+'BALANCE SHEET'!C66)</f>
        <v>4508.9499999999971</v>
      </c>
      <c r="E26" s="37">
        <f>('BALANCE SHEET'!E51+'BALANCE SHEET'!E57+'BALANCE SHEET'!E64+'BALANCE SHEET'!E65+'BALANCE SHEET'!E66)-('BALANCE SHEET'!D51+'BALANCE SHEET'!D57+'BALANCE SHEET'!D64+'BALANCE SHEET'!D65+'BALANCE SHEET'!D66)</f>
        <v>593.12000000000262</v>
      </c>
      <c r="F26" s="37">
        <f>('BALANCE SHEET'!F51+'BALANCE SHEET'!F57+'BALANCE SHEET'!F64+'BALANCE SHEET'!F65+'BALANCE SHEET'!F66)-('BALANCE SHEET'!E51+'BALANCE SHEET'!E57+'BALANCE SHEET'!E64+'BALANCE SHEET'!E65+'BALANCE SHEET'!E66)</f>
        <v>-1506.4800000000032</v>
      </c>
      <c r="G26" s="38">
        <f>('BALANCE SHEET'!G51+'BALANCE SHEET'!G57+'BALANCE SHEET'!G64+'BALANCE SHEET'!G65+'BALANCE SHEET'!G66)-('BALANCE SHEET'!F51+'BALANCE SHEET'!F57+'BALANCE SHEET'!F64+'BALANCE SHEET'!F65+'BALANCE SHEET'!F66)</f>
        <v>-2220.2599999999966</v>
      </c>
      <c r="H26" s="36">
        <f>('BALANCE SHEET'!H51+'BALANCE SHEET'!H57+'BALANCE SHEET'!H64+'BALANCE SHEET'!H65+'BALANCE SHEET'!H66)-('BALANCE SHEET'!G51+'BALANCE SHEET'!G57+'BALANCE SHEET'!G64+'BALANCE SHEET'!G65+'BALANCE SHEET'!G66)</f>
        <v>-7379.5554055460634</v>
      </c>
      <c r="I26" s="37">
        <f>('BALANCE SHEET'!I51+'BALANCE SHEET'!I57+'BALANCE SHEET'!I64+'BALANCE SHEET'!I65+'BALANCE SHEET'!I66)-('BALANCE SHEET'!H51+'BALANCE SHEET'!H57+'BALANCE SHEET'!H64+'BALANCE SHEET'!H65+'BALANCE SHEET'!H66)</f>
        <v>6203.1860058402181</v>
      </c>
      <c r="J26" s="37">
        <f>('BALANCE SHEET'!J51+'BALANCE SHEET'!J57+'BALANCE SHEET'!J64+'BALANCE SHEET'!J65+'BALANCE SHEET'!J66)-('BALANCE SHEET'!I51+'BALANCE SHEET'!I57+'BALANCE SHEET'!I64+'BALANCE SHEET'!I65+'BALANCE SHEET'!I66)</f>
        <v>9948.5707531671978</v>
      </c>
      <c r="K26" s="37">
        <f>('BALANCE SHEET'!K51+'BALANCE SHEET'!K57+'BALANCE SHEET'!K64+'BALANCE SHEET'!K65+'BALANCE SHEET'!K66)-('BALANCE SHEET'!J51+'BALANCE SHEET'!J57+'BALANCE SHEET'!J64+'BALANCE SHEET'!J65+'BALANCE SHEET'!J66)</f>
        <v>9019.9692605557793</v>
      </c>
      <c r="L26" s="38">
        <f>('BALANCE SHEET'!L51+'BALANCE SHEET'!L57+'BALANCE SHEET'!L64+'BALANCE SHEET'!L65+'BALANCE SHEET'!L66)-('BALANCE SHEET'!K51+'BALANCE SHEET'!K57+'BALANCE SHEET'!K64+'BALANCE SHEET'!K65+'BALANCE SHEET'!K66)</f>
        <v>5881.9454888149558</v>
      </c>
      <c r="U26" s="109"/>
      <c r="V26" s="109"/>
      <c r="W26" s="109"/>
      <c r="X26" s="109"/>
      <c r="Y26" s="109"/>
      <c r="Z26" s="109"/>
    </row>
    <row r="27" spans="1:26" ht="14.25" customHeight="1" x14ac:dyDescent="0.3">
      <c r="A27" s="43"/>
      <c r="B27" s="28" t="s">
        <v>282</v>
      </c>
      <c r="C27" s="153"/>
      <c r="D27" s="47">
        <f t="shared" ref="D27:L27" si="1">D19+SUM(D22:D26)</f>
        <v>4051.6699999999978</v>
      </c>
      <c r="E27" s="47">
        <f t="shared" si="1"/>
        <v>2551.0000000000018</v>
      </c>
      <c r="F27" s="47">
        <f t="shared" si="1"/>
        <v>2510.509999999997</v>
      </c>
      <c r="G27" s="48">
        <f t="shared" si="1"/>
        <v>3919.1400000000026</v>
      </c>
      <c r="H27" s="46">
        <f t="shared" si="1"/>
        <v>-8048.5174552598346</v>
      </c>
      <c r="I27" s="47">
        <f t="shared" si="1"/>
        <v>9585.0106877899434</v>
      </c>
      <c r="J27" s="47">
        <f t="shared" si="1"/>
        <v>14961.43850572844</v>
      </c>
      <c r="K27" s="47">
        <f t="shared" si="1"/>
        <v>12929.986008591361</v>
      </c>
      <c r="L27" s="48">
        <f t="shared" si="1"/>
        <v>11471.60918065465</v>
      </c>
      <c r="M27" s="43"/>
      <c r="N27" s="43"/>
      <c r="O27" s="43"/>
      <c r="P27" s="43"/>
      <c r="Q27" s="43"/>
      <c r="R27" s="43"/>
      <c r="S27" s="43"/>
      <c r="T27" s="43"/>
    </row>
    <row r="28" spans="1:26" ht="14.25" customHeight="1" x14ac:dyDescent="0.3">
      <c r="A28" s="43"/>
      <c r="B28" s="155"/>
      <c r="C28" s="153"/>
      <c r="D28" s="117"/>
      <c r="E28" s="117"/>
      <c r="F28" s="117"/>
      <c r="G28" s="118"/>
      <c r="H28" s="67"/>
      <c r="I28" s="43"/>
      <c r="J28" s="43"/>
      <c r="K28" s="43"/>
      <c r="L28" s="68"/>
      <c r="M28" s="43"/>
      <c r="N28" s="43"/>
      <c r="O28" s="43"/>
      <c r="P28" s="43"/>
      <c r="Q28" s="43"/>
      <c r="R28" s="43"/>
      <c r="S28" s="43"/>
      <c r="T28" s="43"/>
    </row>
    <row r="29" spans="1:26" ht="14.25" customHeight="1" x14ac:dyDescent="0.3">
      <c r="B29" s="65" t="s">
        <v>283</v>
      </c>
      <c r="C29" s="82"/>
      <c r="D29" s="37">
        <v>-302.45</v>
      </c>
      <c r="E29" s="37">
        <v>-312.14999999999998</v>
      </c>
      <c r="F29" s="37">
        <v>-677.16</v>
      </c>
      <c r="G29" s="38">
        <v>-942.51</v>
      </c>
      <c r="H29" s="39">
        <f>'FORECAST SCHEDULES'!I216</f>
        <v>-714.44893145733249</v>
      </c>
      <c r="I29" s="40">
        <f>'FORECAST SCHEDULES'!J216</f>
        <v>-923.78252258897032</v>
      </c>
      <c r="J29" s="40">
        <f>'FORECAST SCHEDULES'!K216</f>
        <v>-1211.9040957557411</v>
      </c>
      <c r="K29" s="40">
        <f>'FORECAST SCHEDULES'!L216</f>
        <v>-1453.4409858984779</v>
      </c>
      <c r="L29" s="41">
        <f>'FORECAST SCHEDULES'!M216</f>
        <v>-1817.3872132570707</v>
      </c>
    </row>
    <row r="30" spans="1:26" ht="14.25" customHeight="1" x14ac:dyDescent="0.3">
      <c r="A30" s="43"/>
      <c r="B30" s="28" t="s">
        <v>284</v>
      </c>
      <c r="C30" s="153"/>
      <c r="D30" s="47">
        <f t="shared" ref="D30:L30" si="2">D27+D29</f>
        <v>3749.219999999998</v>
      </c>
      <c r="E30" s="47">
        <f t="shared" si="2"/>
        <v>2238.8500000000017</v>
      </c>
      <c r="F30" s="47">
        <f t="shared" si="2"/>
        <v>1833.3499999999972</v>
      </c>
      <c r="G30" s="48">
        <f t="shared" si="2"/>
        <v>2976.6300000000028</v>
      </c>
      <c r="H30" s="46">
        <f t="shared" si="2"/>
        <v>-8762.9663867171676</v>
      </c>
      <c r="I30" s="47">
        <f t="shared" si="2"/>
        <v>8661.2281652009733</v>
      </c>
      <c r="J30" s="47">
        <f t="shared" si="2"/>
        <v>13749.534409972699</v>
      </c>
      <c r="K30" s="47">
        <f t="shared" si="2"/>
        <v>11476.545022692882</v>
      </c>
      <c r="L30" s="48">
        <f t="shared" si="2"/>
        <v>9654.2219673975796</v>
      </c>
      <c r="M30" s="43"/>
      <c r="N30" s="117"/>
      <c r="O30" s="43"/>
      <c r="P30" s="43"/>
      <c r="Q30" s="43"/>
      <c r="R30" s="43"/>
      <c r="S30" s="43"/>
      <c r="T30" s="43"/>
    </row>
    <row r="31" spans="1:26" ht="14.25" customHeight="1" x14ac:dyDescent="0.3">
      <c r="A31" s="43"/>
      <c r="B31" s="28" t="s">
        <v>285</v>
      </c>
      <c r="C31" s="153"/>
      <c r="D31" s="47">
        <f>SUM('INCOME STATEMENT'!D36,'INCOME STATEMENT'!D38:D42,'INCOME STATEMENT'!D45:D47,D7:D10,D13:D18,D22:D26,D29)</f>
        <v>3421.8599999999979</v>
      </c>
      <c r="E31" s="47">
        <f>SUM('INCOME STATEMENT'!E36,'INCOME STATEMENT'!E38:E42,'INCOME STATEMENT'!E45:E47,E7:E10,E13:E18,E22:E26,E29)</f>
        <v>1642.5500000000011</v>
      </c>
      <c r="F31" s="47">
        <f>SUM('INCOME STATEMENT'!F36,'INCOME STATEMENT'!F38:F42,'INCOME STATEMENT'!F45:F47,F7:F10,F13:F18,F22:F26,F29)</f>
        <v>842.57999999999709</v>
      </c>
      <c r="G31" s="48">
        <f>SUM('INCOME STATEMENT'!G36,'INCOME STATEMENT'!G38:G42,'INCOME STATEMENT'!G45:G47,G7:G10,G13:G18,G22:G26,G29)</f>
        <v>1974.4000000000026</v>
      </c>
      <c r="H31" s="46">
        <f>SUM('INCOME STATEMENT'!H36,'INCOME STATEMENT'!H38:H42,'INCOME STATEMENT'!H45:H47,H7:H10,H13:H18,H22:H26)</f>
        <v>-8837.5755310460081</v>
      </c>
      <c r="I31" s="47">
        <f>SUM('INCOME STATEMENT'!I36,'INCOME STATEMENT'!I38:I42,'INCOME STATEMENT'!I45:I47,I7:I10,I13:I18,I22:I26)</f>
        <v>8831.9025353689176</v>
      </c>
      <c r="J31" s="47">
        <f>SUM('INCOME STATEMENT'!J36,'INCOME STATEMENT'!J38:J42,'INCOME STATEMENT'!J45:J47,J7:J10,J13:J18,J22:J26)</f>
        <v>13506.531043568681</v>
      </c>
      <c r="K31" s="47">
        <f>SUM('INCOME STATEMENT'!K36,'INCOME STATEMENT'!K38:K42,'INCOME STATEMENT'!K45:K47,K7:K10,K13:K18,K22:K26)</f>
        <v>10687.291810675331</v>
      </c>
      <c r="L31" s="48">
        <f>SUM('INCOME STATEMENT'!L36,'INCOME STATEMENT'!L38:L42,'INCOME STATEMENT'!L45:L47,L7:L10,L13:L18,L22:L26)</f>
        <v>8581.5841381705213</v>
      </c>
      <c r="M31" s="43"/>
      <c r="N31" s="117"/>
      <c r="O31" s="43"/>
      <c r="P31" s="43"/>
      <c r="Q31" s="43"/>
      <c r="R31" s="43"/>
      <c r="S31" s="43"/>
      <c r="T31" s="43"/>
    </row>
    <row r="32" spans="1:26" ht="14.25" customHeight="1" x14ac:dyDescent="0.3">
      <c r="B32" s="148"/>
      <c r="C32" s="150"/>
      <c r="G32" s="104"/>
      <c r="H32" s="103"/>
      <c r="L32" s="104"/>
    </row>
    <row r="33" spans="1:26" ht="14.25" customHeight="1" x14ac:dyDescent="0.3">
      <c r="A33" s="95"/>
      <c r="B33" s="147" t="s">
        <v>286</v>
      </c>
      <c r="C33" s="100"/>
      <c r="D33" s="95"/>
      <c r="E33" s="95"/>
      <c r="F33" s="95"/>
      <c r="G33" s="101"/>
      <c r="H33" s="100"/>
      <c r="I33" s="95"/>
      <c r="J33" s="95"/>
      <c r="K33" s="95"/>
      <c r="L33" s="101"/>
    </row>
    <row r="34" spans="1:26" ht="14.25" customHeight="1" x14ac:dyDescent="0.3">
      <c r="B34" s="65" t="s">
        <v>287</v>
      </c>
      <c r="C34" s="82"/>
      <c r="D34" s="37">
        <v>-32.01</v>
      </c>
      <c r="E34" s="37">
        <v>-135.57</v>
      </c>
      <c r="F34" s="37">
        <v>103.03</v>
      </c>
      <c r="G34" s="38">
        <v>-743.14</v>
      </c>
      <c r="H34" s="39">
        <f>-('FORECAST SCHEDULES'!I11+'FORECAST SCHEDULES'!I54)</f>
        <v>-62</v>
      </c>
      <c r="I34" s="40">
        <f>-('FORECAST SCHEDULES'!J11+'FORECAST SCHEDULES'!J54)</f>
        <v>-67</v>
      </c>
      <c r="J34" s="40">
        <f>-('FORECAST SCHEDULES'!K11+'FORECAST SCHEDULES'!K54)</f>
        <v>-82</v>
      </c>
      <c r="K34" s="40">
        <f>-('FORECAST SCHEDULES'!L11+'FORECAST SCHEDULES'!L54)</f>
        <v>-47</v>
      </c>
      <c r="L34" s="41">
        <f>-('FORECAST SCHEDULES'!M11+'FORECAST SCHEDULES'!M54)</f>
        <v>-47</v>
      </c>
    </row>
    <row r="35" spans="1:26" ht="14.25" customHeight="1" x14ac:dyDescent="0.3">
      <c r="B35" s="65" t="s">
        <v>288</v>
      </c>
      <c r="C35" s="82"/>
      <c r="D35" s="37">
        <f>'BALANCE SHEET'!C9-'BALANCE SHEET'!D9</f>
        <v>-6.789999999999992</v>
      </c>
      <c r="E35" s="37">
        <f>'BALANCE SHEET'!D9-'BALANCE SHEET'!E9</f>
        <v>25.32</v>
      </c>
      <c r="F35" s="37">
        <f>'BALANCE SHEET'!E9-'BALANCE SHEET'!F9</f>
        <v>-6.6199999999999974</v>
      </c>
      <c r="G35" s="38">
        <f>'BALANCE SHEET'!F9-'BALANCE SHEET'!G9</f>
        <v>-64.959999999999994</v>
      </c>
      <c r="H35" s="36">
        <f>'BALANCE SHEET'!G9-'BALANCE SHEET'!H9</f>
        <v>-13.799999999999955</v>
      </c>
      <c r="I35" s="37">
        <f>'BALANCE SHEET'!H9-'BALANCE SHEET'!I9</f>
        <v>-30</v>
      </c>
      <c r="J35" s="37">
        <f>'BALANCE SHEET'!I9-'BALANCE SHEET'!J9</f>
        <v>-40.000000000000057</v>
      </c>
      <c r="K35" s="37">
        <f>'BALANCE SHEET'!J9-'BALANCE SHEET'!K9</f>
        <v>-25</v>
      </c>
      <c r="L35" s="38">
        <f>'BALANCE SHEET'!K9-'BALANCE SHEET'!L9</f>
        <v>-15</v>
      </c>
    </row>
    <row r="36" spans="1:26" ht="14.25" customHeight="1" x14ac:dyDescent="0.3">
      <c r="B36" s="65" t="s">
        <v>289</v>
      </c>
      <c r="C36" s="82"/>
      <c r="D36" s="37">
        <v>1.27</v>
      </c>
      <c r="E36" s="37">
        <v>1.31</v>
      </c>
      <c r="F36" s="37">
        <v>1.66</v>
      </c>
      <c r="G36" s="38">
        <v>0.92</v>
      </c>
      <c r="H36" s="39">
        <f>'ASSUMPTIONS AND REASONING'!J55</f>
        <v>1.2966666666666666</v>
      </c>
      <c r="I36" s="40">
        <f>'ASSUMPTIONS AND REASONING'!K55</f>
        <v>1.2922222222222224</v>
      </c>
      <c r="J36" s="40">
        <f>'ASSUMPTIONS AND REASONING'!L55</f>
        <v>1.1696296296296298</v>
      </c>
      <c r="K36" s="40">
        <f>'ASSUMPTIONS AND REASONING'!M55</f>
        <v>1.2528395061728397</v>
      </c>
      <c r="L36" s="41">
        <f>'ASSUMPTIONS AND REASONING'!N55</f>
        <v>1.2382304526748973</v>
      </c>
    </row>
    <row r="37" spans="1:26" ht="14.25" customHeight="1" x14ac:dyDescent="0.3">
      <c r="B37" s="65" t="s">
        <v>290</v>
      </c>
      <c r="C37" s="82"/>
      <c r="D37" s="37">
        <f>'BALANCE SHEET'!C18-'BALANCE SHEET'!D18</f>
        <v>-2.39</v>
      </c>
      <c r="E37" s="37">
        <f>'BALANCE SHEET'!D18-'BALANCE SHEET'!E18</f>
        <v>-5.26</v>
      </c>
      <c r="F37" s="37">
        <f>'BALANCE SHEET'!E18-'BALANCE SHEET'!F18</f>
        <v>-431.17</v>
      </c>
      <c r="G37" s="38">
        <f>'BALANCE SHEET'!F18-'BALANCE SHEET'!G18</f>
        <v>324.5</v>
      </c>
      <c r="H37" s="36">
        <f>'BALANCE SHEET'!G18-'BALANCE SHEET'!H18</f>
        <v>-235</v>
      </c>
      <c r="I37" s="37">
        <f>'BALANCE SHEET'!H18-'BALANCE SHEET'!I18</f>
        <v>-50</v>
      </c>
      <c r="J37" s="37">
        <f>'BALANCE SHEET'!I18-'BALANCE SHEET'!J18</f>
        <v>50</v>
      </c>
      <c r="K37" s="37">
        <f>'BALANCE SHEET'!J18-'BALANCE SHEET'!K18</f>
        <v>150</v>
      </c>
      <c r="L37" s="38">
        <f>'BALANCE SHEET'!K18-'BALANCE SHEET'!L18</f>
        <v>150</v>
      </c>
    </row>
    <row r="38" spans="1:26" ht="14.25" customHeight="1" x14ac:dyDescent="0.3">
      <c r="B38" s="65" t="s">
        <v>291</v>
      </c>
      <c r="C38" s="82"/>
      <c r="D38" s="37">
        <f>'INCOME STATEMENT'!D44</f>
        <v>347.48</v>
      </c>
      <c r="E38" s="37">
        <f>'INCOME STATEMENT'!E44</f>
        <v>601.77</v>
      </c>
      <c r="F38" s="37">
        <f>'INCOME STATEMENT'!F44</f>
        <v>994.41</v>
      </c>
      <c r="G38" s="38">
        <f>'INCOME STATEMENT'!G44</f>
        <v>1005.84</v>
      </c>
      <c r="H38" s="36">
        <v>0</v>
      </c>
      <c r="I38" s="37">
        <v>0</v>
      </c>
      <c r="J38" s="37">
        <v>0</v>
      </c>
      <c r="K38" s="37">
        <v>0</v>
      </c>
      <c r="L38" s="38">
        <v>0</v>
      </c>
    </row>
    <row r="39" spans="1:26" ht="14.25" customHeight="1" x14ac:dyDescent="0.3">
      <c r="B39" s="105" t="s">
        <v>270</v>
      </c>
      <c r="C39" s="82"/>
      <c r="D39" s="37">
        <f>'INCOME STATEMENT'!D45</f>
        <v>23.36</v>
      </c>
      <c r="E39" s="37">
        <f>'INCOME STATEMENT'!E45</f>
        <v>26.65</v>
      </c>
      <c r="F39" s="37">
        <f>'INCOME STATEMENT'!F45</f>
        <v>36.549999999999997</v>
      </c>
      <c r="G39" s="38">
        <f>'INCOME STATEMENT'!G45</f>
        <v>47.54</v>
      </c>
      <c r="H39" s="36">
        <f>'INCOME STATEMENT'!H45</f>
        <v>50</v>
      </c>
      <c r="I39" s="37">
        <f>'INCOME STATEMENT'!I45</f>
        <v>50</v>
      </c>
      <c r="J39" s="37">
        <f>'INCOME STATEMENT'!J45</f>
        <v>50</v>
      </c>
      <c r="K39" s="37">
        <f>'INCOME STATEMENT'!K45</f>
        <v>50</v>
      </c>
      <c r="L39" s="38">
        <f>'INCOME STATEMENT'!L45</f>
        <v>50</v>
      </c>
      <c r="U39" s="92"/>
      <c r="V39" s="92"/>
      <c r="W39" s="92"/>
      <c r="X39" s="92"/>
      <c r="Y39" s="92"/>
      <c r="Z39" s="92"/>
    </row>
    <row r="40" spans="1:26" ht="14.25" customHeight="1" x14ac:dyDescent="0.3">
      <c r="B40" s="65" t="s">
        <v>292</v>
      </c>
      <c r="C40" s="82"/>
      <c r="D40" s="37">
        <f>-('BALANCE SHEET'!D30-'BALANCE SHEET'!C30)</f>
        <v>-3472</v>
      </c>
      <c r="E40" s="37">
        <f>-('BALANCE SHEET'!E30-'BALANCE SHEET'!D30)</f>
        <v>-658</v>
      </c>
      <c r="F40" s="37">
        <f>-('BALANCE SHEET'!F30-'BALANCE SHEET'!E30)</f>
        <v>2426.8500000000004</v>
      </c>
      <c r="G40" s="38">
        <f>-('BALANCE SHEET'!G30-'BALANCE SHEET'!F30)</f>
        <v>-1873.0699999999997</v>
      </c>
      <c r="H40" s="36">
        <f>-('BALANCE SHEET'!H30-'BALANCE SHEET'!G30)</f>
        <v>5433.2570323290993</v>
      </c>
      <c r="I40" s="37">
        <f>-('BALANCE SHEET'!I30-'BALANCE SHEET'!H30)</f>
        <v>-5754.1810163636301</v>
      </c>
      <c r="J40" s="37">
        <f>-('BALANCE SHEET'!J30-'BALANCE SHEET'!I30)</f>
        <v>-9007.5075184977904</v>
      </c>
      <c r="K40" s="37">
        <f>-('BALANCE SHEET'!K30-'BALANCE SHEET'!J30)</f>
        <v>-9063.8054129402044</v>
      </c>
      <c r="L40" s="38">
        <f>-('BALANCE SHEET'!L30-'BALANCE SHEET'!K30)</f>
        <v>-5909.8606291788747</v>
      </c>
    </row>
    <row r="41" spans="1:26" ht="14.25" customHeight="1" x14ac:dyDescent="0.3">
      <c r="B41" s="65" t="s">
        <v>293</v>
      </c>
      <c r="C41" s="82"/>
      <c r="D41" s="37">
        <v>-4.5199999999999996</v>
      </c>
      <c r="E41" s="37">
        <v>-5.88</v>
      </c>
      <c r="F41" s="37">
        <v>-6.51</v>
      </c>
      <c r="G41" s="38">
        <v>-0.12</v>
      </c>
      <c r="H41" s="39">
        <f>'FORECAST SCHEDULES'!I45</f>
        <v>-2</v>
      </c>
      <c r="I41" s="40">
        <f>'FORECAST SCHEDULES'!J45</f>
        <v>-2</v>
      </c>
      <c r="J41" s="40">
        <f>'FORECAST SCHEDULES'!K45</f>
        <v>-2</v>
      </c>
      <c r="K41" s="40">
        <f>'FORECAST SCHEDULES'!L45</f>
        <v>-2</v>
      </c>
      <c r="L41" s="41">
        <f>'FORECAST SCHEDULES'!M45</f>
        <v>-2</v>
      </c>
    </row>
    <row r="42" spans="1:26" ht="14.25" customHeight="1" x14ac:dyDescent="0.3">
      <c r="A42" s="43"/>
      <c r="B42" s="28" t="s">
        <v>294</v>
      </c>
      <c r="C42" s="153"/>
      <c r="D42" s="47">
        <f t="shared" ref="D42:L42" si="3">SUM(D34:D41)</f>
        <v>-3145.6</v>
      </c>
      <c r="E42" s="47">
        <f t="shared" si="3"/>
        <v>-149.65999999999997</v>
      </c>
      <c r="F42" s="47">
        <f t="shared" si="3"/>
        <v>3118.2</v>
      </c>
      <c r="G42" s="48">
        <f t="shared" si="3"/>
        <v>-1302.4899999999998</v>
      </c>
      <c r="H42" s="46">
        <f t="shared" si="3"/>
        <v>5171.7536989957662</v>
      </c>
      <c r="I42" s="47">
        <f t="shared" si="3"/>
        <v>-5851.8887941414077</v>
      </c>
      <c r="J42" s="47">
        <f t="shared" si="3"/>
        <v>-9030.33788886816</v>
      </c>
      <c r="K42" s="47">
        <f t="shared" si="3"/>
        <v>-8936.5525734340317</v>
      </c>
      <c r="L42" s="48">
        <f t="shared" si="3"/>
        <v>-5772.6223987262001</v>
      </c>
      <c r="M42" s="43"/>
      <c r="N42" s="43"/>
      <c r="O42" s="43"/>
      <c r="P42" s="43"/>
      <c r="Q42" s="43"/>
      <c r="R42" s="43"/>
      <c r="S42" s="43"/>
      <c r="T42" s="43"/>
    </row>
    <row r="43" spans="1:26" ht="14.25" customHeight="1" x14ac:dyDescent="0.3">
      <c r="B43" s="148"/>
      <c r="C43" s="150"/>
      <c r="G43" s="104"/>
      <c r="H43" s="103"/>
      <c r="L43" s="104"/>
    </row>
    <row r="44" spans="1:26" ht="14.25" customHeight="1" x14ac:dyDescent="0.3">
      <c r="A44" s="95"/>
      <c r="B44" s="147" t="s">
        <v>295</v>
      </c>
      <c r="C44" s="100"/>
      <c r="D44" s="95"/>
      <c r="E44" s="95"/>
      <c r="F44" s="95"/>
      <c r="G44" s="101"/>
      <c r="H44" s="100"/>
      <c r="I44" s="95"/>
      <c r="J44" s="95"/>
      <c r="K44" s="95"/>
      <c r="L44" s="101"/>
    </row>
    <row r="45" spans="1:26" ht="14.25" customHeight="1" x14ac:dyDescent="0.3">
      <c r="B45" s="65" t="s">
        <v>296</v>
      </c>
      <c r="C45" s="82"/>
      <c r="D45" s="37">
        <v>-180.11</v>
      </c>
      <c r="E45" s="37">
        <v>-216.42</v>
      </c>
      <c r="F45" s="37">
        <v>-447.75</v>
      </c>
      <c r="G45" s="38">
        <v>-711.97</v>
      </c>
      <c r="H45" s="36">
        <f>-'FORECAST SCHEDULES'!H203-'FORECAST SCHEDULES'!I201</f>
        <v>-417.50353411208806</v>
      </c>
      <c r="I45" s="37">
        <f>-'FORECAST SCHEDULES'!I203-'FORECAST SCHEDULES'!J201</f>
        <v>-691.96658093703809</v>
      </c>
      <c r="J45" s="37">
        <f>-'FORECAST SCHEDULES'!J203-'FORECAST SCHEDULES'!K201</f>
        <v>-890.12432938658333</v>
      </c>
      <c r="K45" s="37">
        <f>-'FORECAST SCHEDULES'!K203-'FORECAST SCHEDULES'!L201</f>
        <v>-1081.0719743525419</v>
      </c>
      <c r="L45" s="38">
        <f>-'FORECAST SCHEDULES'!L203-'FORECAST SCHEDULES'!M201</f>
        <v>-1354.9594830687115</v>
      </c>
    </row>
    <row r="46" spans="1:26" ht="14.25" customHeight="1" x14ac:dyDescent="0.3">
      <c r="B46" s="65" t="s">
        <v>297</v>
      </c>
      <c r="C46" s="82"/>
      <c r="D46" s="37">
        <v>-3.1</v>
      </c>
      <c r="E46" s="37">
        <v>-1.55</v>
      </c>
      <c r="F46" s="37">
        <v>-0.75</v>
      </c>
      <c r="G46" s="38">
        <v>-7.0000000000000007E-2</v>
      </c>
      <c r="H46" s="151">
        <f>-'INCOME STATEMENT'!H38</f>
        <v>-1</v>
      </c>
      <c r="I46" s="132">
        <f>-'INCOME STATEMENT'!I38</f>
        <v>-1</v>
      </c>
      <c r="J46" s="132">
        <f>-'INCOME STATEMENT'!J38</f>
        <v>-1</v>
      </c>
      <c r="K46" s="132">
        <f>-'INCOME STATEMENT'!K38</f>
        <v>-1</v>
      </c>
      <c r="L46" s="152">
        <f>-'INCOME STATEMENT'!L38</f>
        <v>-1</v>
      </c>
    </row>
    <row r="47" spans="1:26" ht="14.25" customHeight="1" x14ac:dyDescent="0.3">
      <c r="B47" s="65" t="s">
        <v>298</v>
      </c>
      <c r="C47" s="82"/>
      <c r="D47" s="37">
        <v>0</v>
      </c>
      <c r="E47" s="37">
        <v>-0.02</v>
      </c>
      <c r="F47" s="37">
        <v>0</v>
      </c>
      <c r="G47" s="38">
        <v>0</v>
      </c>
      <c r="H47" s="39">
        <f>'ASSUMPTIONS AND REASONING'!J56</f>
        <v>0</v>
      </c>
      <c r="I47" s="40">
        <f>'ASSUMPTIONS AND REASONING'!K56</f>
        <v>0</v>
      </c>
      <c r="J47" s="40">
        <f>'ASSUMPTIONS AND REASONING'!L56</f>
        <v>0</v>
      </c>
      <c r="K47" s="40">
        <f>'ASSUMPTIONS AND REASONING'!M56</f>
        <v>0</v>
      </c>
      <c r="L47" s="41">
        <f>'ASSUMPTIONS AND REASONING'!N56</f>
        <v>0</v>
      </c>
    </row>
    <row r="48" spans="1:26" ht="14.25" customHeight="1" x14ac:dyDescent="0.3">
      <c r="A48" s="43"/>
      <c r="B48" s="28" t="s">
        <v>299</v>
      </c>
      <c r="C48" s="153"/>
      <c r="D48" s="47">
        <f t="shared" ref="D48:L48" si="4">SUM(D45:D47)</f>
        <v>-183.21</v>
      </c>
      <c r="E48" s="47">
        <f t="shared" si="4"/>
        <v>-217.99</v>
      </c>
      <c r="F48" s="47">
        <f t="shared" si="4"/>
        <v>-448.5</v>
      </c>
      <c r="G48" s="48">
        <f t="shared" si="4"/>
        <v>-712.04000000000008</v>
      </c>
      <c r="H48" s="46">
        <f t="shared" si="4"/>
        <v>-418.50353411208806</v>
      </c>
      <c r="I48" s="47">
        <f t="shared" si="4"/>
        <v>-692.96658093703809</v>
      </c>
      <c r="J48" s="47">
        <f t="shared" si="4"/>
        <v>-891.12432938658333</v>
      </c>
      <c r="K48" s="47">
        <f t="shared" si="4"/>
        <v>-1082.0719743525419</v>
      </c>
      <c r="L48" s="48">
        <f t="shared" si="4"/>
        <v>-1355.9594830687115</v>
      </c>
      <c r="M48" s="43"/>
      <c r="N48" s="43"/>
      <c r="O48" s="43"/>
      <c r="P48" s="43"/>
      <c r="Q48" s="43"/>
      <c r="R48" s="43"/>
      <c r="S48" s="43"/>
      <c r="T48" s="43"/>
    </row>
    <row r="49" spans="1:20" ht="14.25" customHeight="1" x14ac:dyDescent="0.3">
      <c r="B49" s="156" t="s">
        <v>300</v>
      </c>
      <c r="C49" s="150"/>
      <c r="D49" s="73">
        <f>('BALANCE SHEET'!D29-'BALANCE SHEET'!C29)-(D30+D42+D48)</f>
        <v>-439.84999999999798</v>
      </c>
      <c r="E49" s="73">
        <f>('BALANCE SHEET'!E29-'BALANCE SHEET'!D29)-(E30+E42+E48)</f>
        <v>-723.25000000000182</v>
      </c>
      <c r="F49" s="73">
        <f>('BALANCE SHEET'!F29-'BALANCE SHEET'!E29)-(F30+F42+F48)</f>
        <v>-1152.989999999998</v>
      </c>
      <c r="G49" s="74">
        <f>('BALANCE SHEET'!G29-'BALANCE SHEET'!F29)-(G30+G42+G48)</f>
        <v>-895.19000000000221</v>
      </c>
      <c r="H49" s="72">
        <f>('BALANCE SHEET'!H29-'BALANCE SHEET'!G29)-(H30+H42+H48)</f>
        <v>0</v>
      </c>
      <c r="I49" s="73">
        <f>('BALANCE SHEET'!I29-'BALANCE SHEET'!H29)-(I30+I42+I48)</f>
        <v>0</v>
      </c>
      <c r="J49" s="73">
        <f>('BALANCE SHEET'!J29-'BALANCE SHEET'!I29)-(J30+J42+J48)</f>
        <v>0</v>
      </c>
      <c r="K49" s="73">
        <f>('BALANCE SHEET'!K29-'BALANCE SHEET'!J29)-(K30+K42+K48)</f>
        <v>-3.1832314562052488E-12</v>
      </c>
      <c r="L49" s="74">
        <f>('BALANCE SHEET'!L29-'BALANCE SHEET'!K29)-(L30+L42+L48)</f>
        <v>0</v>
      </c>
    </row>
    <row r="50" spans="1:20" ht="14.25" customHeight="1" x14ac:dyDescent="0.3">
      <c r="A50" s="43"/>
      <c r="B50" s="28" t="s">
        <v>301</v>
      </c>
      <c r="C50" s="153"/>
      <c r="D50" s="47">
        <f>D30+D42+D48+D49</f>
        <v>-19.439999999999941</v>
      </c>
      <c r="E50" s="47">
        <f>E30+E42+E48+E49</f>
        <v>1147.95</v>
      </c>
      <c r="F50" s="47">
        <f>F30+F42+F48+F49</f>
        <v>3350.0599999999995</v>
      </c>
      <c r="G50" s="48">
        <f>G30+G42+G48+G49</f>
        <v>66.910000000000764</v>
      </c>
      <c r="H50" s="46">
        <f>H30+H42+H48</f>
        <v>-4009.7162218334893</v>
      </c>
      <c r="I50" s="47">
        <f>I30+I42+I48</f>
        <v>2116.3727901225275</v>
      </c>
      <c r="J50" s="47">
        <f>J30+J42+J48</f>
        <v>3828.0721917179558</v>
      </c>
      <c r="K50" s="47">
        <f>K30+K42+K48</f>
        <v>1457.9204749063088</v>
      </c>
      <c r="L50" s="48">
        <f>L30+L42+L48</f>
        <v>2525.640085602668</v>
      </c>
      <c r="M50" s="43"/>
      <c r="N50" s="43"/>
      <c r="O50" s="43"/>
      <c r="P50" s="43"/>
      <c r="Q50" s="43"/>
      <c r="R50" s="43"/>
      <c r="S50" s="43"/>
      <c r="T50" s="43"/>
    </row>
    <row r="51" spans="1:20" ht="14.25" customHeight="1" x14ac:dyDescent="0.3">
      <c r="A51" s="43"/>
      <c r="B51" s="155"/>
      <c r="C51" s="153"/>
      <c r="D51" s="117"/>
      <c r="E51" s="117"/>
      <c r="F51" s="117"/>
      <c r="G51" s="118"/>
      <c r="H51" s="67"/>
      <c r="I51" s="43"/>
      <c r="J51" s="43"/>
      <c r="K51" s="43"/>
      <c r="L51" s="68"/>
      <c r="M51" s="43"/>
      <c r="N51" s="43"/>
      <c r="O51" s="43"/>
      <c r="P51" s="43"/>
      <c r="Q51" s="43"/>
      <c r="R51" s="43"/>
      <c r="S51" s="43"/>
      <c r="T51" s="43"/>
    </row>
    <row r="52" spans="1:20" ht="14.25" customHeight="1" x14ac:dyDescent="0.3">
      <c r="B52" s="65" t="s">
        <v>302</v>
      </c>
      <c r="C52" s="82"/>
      <c r="D52" s="37">
        <f>'BALANCE SHEET'!C29</f>
        <v>739.91</v>
      </c>
      <c r="E52" s="37">
        <f t="shared" ref="E52:L52" si="5">D54</f>
        <v>720.47</v>
      </c>
      <c r="F52" s="37">
        <f t="shared" si="5"/>
        <v>1868.42</v>
      </c>
      <c r="G52" s="38">
        <f t="shared" si="5"/>
        <v>5218.4799999999996</v>
      </c>
      <c r="H52" s="36">
        <f t="shared" si="5"/>
        <v>5285.39</v>
      </c>
      <c r="I52" s="37">
        <f t="shared" si="5"/>
        <v>1275.6737781665111</v>
      </c>
      <c r="J52" s="37">
        <f t="shared" si="5"/>
        <v>3392.0465682890385</v>
      </c>
      <c r="K52" s="37">
        <f t="shared" si="5"/>
        <v>7220.1187600069943</v>
      </c>
      <c r="L52" s="38">
        <f t="shared" si="5"/>
        <v>8678.0392349133035</v>
      </c>
    </row>
    <row r="53" spans="1:20" ht="14.25" customHeight="1" x14ac:dyDescent="0.3">
      <c r="B53" s="65" t="s">
        <v>301</v>
      </c>
      <c r="C53" s="82"/>
      <c r="D53" s="37">
        <f t="shared" ref="D53:L53" si="6">D50</f>
        <v>-19.439999999999941</v>
      </c>
      <c r="E53" s="37">
        <f t="shared" si="6"/>
        <v>1147.95</v>
      </c>
      <c r="F53" s="37">
        <f t="shared" si="6"/>
        <v>3350.0599999999995</v>
      </c>
      <c r="G53" s="38">
        <f t="shared" si="6"/>
        <v>66.910000000000764</v>
      </c>
      <c r="H53" s="36">
        <f t="shared" si="6"/>
        <v>-4009.7162218334893</v>
      </c>
      <c r="I53" s="37">
        <f t="shared" si="6"/>
        <v>2116.3727901225275</v>
      </c>
      <c r="J53" s="37">
        <f t="shared" si="6"/>
        <v>3828.0721917179558</v>
      </c>
      <c r="K53" s="37">
        <f t="shared" si="6"/>
        <v>1457.9204749063088</v>
      </c>
      <c r="L53" s="38">
        <f t="shared" si="6"/>
        <v>2525.640085602668</v>
      </c>
    </row>
    <row r="54" spans="1:20" ht="14.25" customHeight="1" x14ac:dyDescent="0.3">
      <c r="A54" s="43"/>
      <c r="B54" s="28" t="s">
        <v>303</v>
      </c>
      <c r="C54" s="46">
        <f>'BALANCE SHEET'!C29</f>
        <v>739.91</v>
      </c>
      <c r="D54" s="47">
        <f t="shared" ref="D54:L54" si="7">D53+D52</f>
        <v>720.47</v>
      </c>
      <c r="E54" s="47">
        <f t="shared" si="7"/>
        <v>1868.42</v>
      </c>
      <c r="F54" s="47">
        <f t="shared" si="7"/>
        <v>5218.4799999999996</v>
      </c>
      <c r="G54" s="48">
        <f t="shared" si="7"/>
        <v>5285.39</v>
      </c>
      <c r="H54" s="46">
        <f t="shared" si="7"/>
        <v>1275.6737781665111</v>
      </c>
      <c r="I54" s="47">
        <f t="shared" si="7"/>
        <v>3392.0465682890385</v>
      </c>
      <c r="J54" s="47">
        <f t="shared" si="7"/>
        <v>7220.1187600069943</v>
      </c>
      <c r="K54" s="47">
        <f t="shared" si="7"/>
        <v>8678.0392349133035</v>
      </c>
      <c r="L54" s="48">
        <f t="shared" si="7"/>
        <v>11203.679320515972</v>
      </c>
      <c r="M54" s="43"/>
      <c r="N54" s="43"/>
      <c r="O54" s="43"/>
      <c r="P54" s="43"/>
      <c r="Q54" s="43"/>
      <c r="R54" s="43"/>
      <c r="S54" s="43"/>
      <c r="T54" s="43"/>
    </row>
    <row r="55" spans="1:20" ht="14.25" customHeight="1" x14ac:dyDescent="0.3">
      <c r="B55" s="148"/>
      <c r="C55" s="103"/>
      <c r="G55" s="104"/>
      <c r="H55" s="103"/>
      <c r="L55" s="104"/>
    </row>
    <row r="56" spans="1:20" ht="14.25" customHeight="1" x14ac:dyDescent="0.3">
      <c r="A56" s="119"/>
      <c r="B56" s="157" t="s">
        <v>304</v>
      </c>
      <c r="C56" s="158"/>
      <c r="D56" s="159">
        <f>ROUNDDOWN(D54-'BALANCE SHEET'!D29,0)</f>
        <v>0</v>
      </c>
      <c r="E56" s="159">
        <f>ROUNDDOWN(E54-'BALANCE SHEET'!E29,0)</f>
        <v>0</v>
      </c>
      <c r="F56" s="159">
        <f>ROUNDDOWN(F54-'BALANCE SHEET'!F29,0)</f>
        <v>0</v>
      </c>
      <c r="G56" s="160">
        <f>ROUNDDOWN(G54-'BALANCE SHEET'!G29,0)</f>
        <v>0</v>
      </c>
      <c r="H56" s="161">
        <f>ROUNDDOWN(H54-'BALANCE SHEET'!H29,0)</f>
        <v>0</v>
      </c>
      <c r="I56" s="159">
        <f>ROUNDDOWN(I54-'BALANCE SHEET'!I29,0)</f>
        <v>0</v>
      </c>
      <c r="J56" s="159">
        <f>ROUNDDOWN(J54-'BALANCE SHEET'!J29,0)</f>
        <v>0</v>
      </c>
      <c r="K56" s="159">
        <f>ROUNDDOWN(K54-'BALANCE SHEET'!K29,0)</f>
        <v>0</v>
      </c>
      <c r="L56" s="160">
        <f>ROUNDDOWN(L54-'BALANCE SHEET'!L29,0)</f>
        <v>0</v>
      </c>
    </row>
    <row r="57" spans="1:20" ht="14.25" customHeight="1" x14ac:dyDescent="0.3"/>
    <row r="58" spans="1:20" ht="14.25" customHeight="1" x14ac:dyDescent="0.3"/>
    <row r="59" spans="1:20" ht="14.25" customHeight="1" x14ac:dyDescent="0.3"/>
    <row r="60" spans="1:20" ht="14.25" customHeight="1" x14ac:dyDescent="0.3"/>
    <row r="61" spans="1:20" ht="14.25" customHeight="1" x14ac:dyDescent="0.3"/>
    <row r="62" spans="1:20" ht="14.25" customHeight="1" x14ac:dyDescent="0.3"/>
    <row r="63" spans="1:20" ht="14.25" customHeight="1" x14ac:dyDescent="0.3"/>
    <row r="64" spans="1:20"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A6A6"/>
  </sheetPr>
  <dimension ref="A1:AI258"/>
  <sheetViews>
    <sheetView showGridLines="0" zoomScaleNormal="100" workbookViewId="0">
      <pane ySplit="2" topLeftCell="A200" activePane="bottomLeft" state="frozen"/>
      <selection pane="bottomLeft" activeCell="B99" sqref="B99"/>
    </sheetView>
  </sheetViews>
  <sheetFormatPr defaultColWidth="12.6640625" defaultRowHeight="14.4" x14ac:dyDescent="0.3"/>
  <cols>
    <col min="1" max="1" width="3" style="162" customWidth="1"/>
    <col min="2" max="2" width="71.21875" style="163" customWidth="1"/>
    <col min="3" max="3" width="41.21875" style="164" customWidth="1"/>
    <col min="4" max="7" width="10.44140625" style="162" customWidth="1"/>
    <col min="8" max="8" width="11.109375" style="162" customWidth="1"/>
    <col min="9" max="13" width="13.44140625" style="162" customWidth="1"/>
    <col min="14" max="14" width="3" style="162" customWidth="1"/>
    <col min="15" max="15" width="255.77734375" style="165" customWidth="1"/>
    <col min="16" max="35" width="8.44140625" style="162" customWidth="1"/>
    <col min="36" max="16384" width="12.6640625" style="162"/>
  </cols>
  <sheetData>
    <row r="1" spans="1:35" ht="14.25" customHeight="1" x14ac:dyDescent="0.3">
      <c r="B1" s="148"/>
      <c r="C1" s="148"/>
      <c r="D1" s="166" t="s">
        <v>98</v>
      </c>
      <c r="E1" s="167" t="s">
        <v>98</v>
      </c>
      <c r="F1" s="167" t="s">
        <v>98</v>
      </c>
      <c r="G1" s="167" t="s">
        <v>98</v>
      </c>
      <c r="H1" s="168" t="s">
        <v>98</v>
      </c>
      <c r="I1" s="169" t="s">
        <v>99</v>
      </c>
      <c r="J1" s="170" t="s">
        <v>99</v>
      </c>
      <c r="K1" s="170" t="s">
        <v>99</v>
      </c>
      <c r="L1" s="170" t="s">
        <v>99</v>
      </c>
      <c r="M1" s="171" t="s">
        <v>99</v>
      </c>
      <c r="O1" s="148"/>
    </row>
    <row r="2" spans="1:35" ht="14.25" customHeight="1" x14ac:dyDescent="0.3">
      <c r="B2" s="172" t="s">
        <v>305</v>
      </c>
      <c r="C2" s="173" t="s">
        <v>306</v>
      </c>
      <c r="D2" s="174">
        <v>44286</v>
      </c>
      <c r="E2" s="175">
        <v>44651</v>
      </c>
      <c r="F2" s="175">
        <v>45016</v>
      </c>
      <c r="G2" s="175">
        <v>45382</v>
      </c>
      <c r="H2" s="176">
        <v>45747</v>
      </c>
      <c r="I2" s="174">
        <v>46112</v>
      </c>
      <c r="J2" s="175">
        <v>46477</v>
      </c>
      <c r="K2" s="175">
        <v>46843</v>
      </c>
      <c r="L2" s="175">
        <v>47208</v>
      </c>
      <c r="M2" s="176">
        <v>47573</v>
      </c>
      <c r="O2" s="177" t="s">
        <v>307</v>
      </c>
    </row>
    <row r="3" spans="1:35" ht="14.25" customHeight="1" x14ac:dyDescent="0.3">
      <c r="B3" s="148"/>
      <c r="C3" s="148"/>
      <c r="D3" s="103"/>
      <c r="H3" s="104"/>
      <c r="I3" s="103"/>
      <c r="M3" s="104"/>
      <c r="O3" s="148"/>
    </row>
    <row r="4" spans="1:35" ht="14.25" customHeight="1" x14ac:dyDescent="0.3">
      <c r="A4" s="178"/>
      <c r="B4" s="179" t="s">
        <v>308</v>
      </c>
      <c r="C4" s="180"/>
      <c r="D4" s="181"/>
      <c r="E4" s="182"/>
      <c r="F4" s="182"/>
      <c r="G4" s="182"/>
      <c r="H4" s="183"/>
      <c r="I4" s="181"/>
      <c r="J4" s="182"/>
      <c r="K4" s="182"/>
      <c r="L4" s="182"/>
      <c r="M4" s="183"/>
      <c r="O4" s="184"/>
    </row>
    <row r="5" spans="1:35" ht="14.25" customHeight="1" x14ac:dyDescent="0.3">
      <c r="A5" s="185"/>
      <c r="B5" s="186" t="s">
        <v>181</v>
      </c>
      <c r="C5" s="187"/>
      <c r="D5" s="188"/>
      <c r="E5" s="189">
        <f>'BALANCE SHEET'!D5</f>
        <v>713.54</v>
      </c>
      <c r="F5" s="189">
        <f>'BALANCE SHEET'!E5</f>
        <v>777.63</v>
      </c>
      <c r="G5" s="189">
        <f>'BALANCE SHEET'!F5</f>
        <v>780.3</v>
      </c>
      <c r="H5" s="190">
        <f>'BALANCE SHEET'!G5</f>
        <v>773.94</v>
      </c>
      <c r="I5" s="191">
        <f>I7-I6</f>
        <v>755.44952269434827</v>
      </c>
      <c r="J5" s="189">
        <f>J7-J6</f>
        <v>738.30700588720754</v>
      </c>
      <c r="K5" s="189">
        <f>K7-K6</f>
        <v>731.58782459641736</v>
      </c>
      <c r="L5" s="189">
        <f>L7-L6</f>
        <v>691.46200947657303</v>
      </c>
      <c r="M5" s="190">
        <f>M7-M6</f>
        <v>649.568993592281</v>
      </c>
      <c r="N5" s="185"/>
      <c r="O5" s="192"/>
      <c r="P5" s="185"/>
      <c r="Q5" s="185"/>
      <c r="R5" s="185"/>
      <c r="S5" s="185"/>
      <c r="T5" s="185"/>
      <c r="U5" s="185"/>
      <c r="V5" s="185"/>
      <c r="W5" s="185"/>
      <c r="X5" s="185"/>
      <c r="Y5" s="185"/>
      <c r="Z5" s="185"/>
      <c r="AA5" s="185"/>
      <c r="AB5" s="185"/>
      <c r="AC5" s="185"/>
      <c r="AD5" s="185"/>
      <c r="AE5" s="185"/>
      <c r="AF5" s="185"/>
      <c r="AG5" s="185"/>
      <c r="AH5" s="185"/>
      <c r="AI5" s="185"/>
    </row>
    <row r="6" spans="1:35" ht="14.25" customHeight="1" x14ac:dyDescent="0.3">
      <c r="A6" s="185"/>
      <c r="B6" s="193" t="s">
        <v>174</v>
      </c>
      <c r="C6" s="194"/>
      <c r="D6" s="188"/>
      <c r="E6" s="189">
        <f>'INCOME STATEMENT'!D93</f>
        <v>291.3</v>
      </c>
      <c r="F6" s="189">
        <f>'INCOME STATEMENT'!E93</f>
        <v>342.93</v>
      </c>
      <c r="G6" s="189">
        <f>'INCOME STATEMENT'!F93</f>
        <v>398.77</v>
      </c>
      <c r="H6" s="190">
        <f>'INCOME STATEMENT'!G93</f>
        <v>476.37</v>
      </c>
      <c r="I6" s="191">
        <f>I32</f>
        <v>542.31714397231815</v>
      </c>
      <c r="J6" s="189">
        <f>J32</f>
        <v>612.14521633501442</v>
      </c>
      <c r="K6" s="189">
        <f>K32</f>
        <v>686.84847169987859</v>
      </c>
      <c r="L6" s="189">
        <f>L32</f>
        <v>759.89971891848836</v>
      </c>
      <c r="M6" s="190">
        <f>M32</f>
        <v>834.65775537891204</v>
      </c>
      <c r="N6" s="185"/>
      <c r="O6" s="192"/>
      <c r="P6" s="185"/>
      <c r="Q6" s="185"/>
      <c r="R6" s="185"/>
      <c r="S6" s="185"/>
      <c r="T6" s="185"/>
      <c r="U6" s="185"/>
      <c r="V6" s="185"/>
      <c r="W6" s="185"/>
      <c r="X6" s="185"/>
      <c r="Y6" s="185"/>
      <c r="Z6" s="185"/>
      <c r="AA6" s="185"/>
      <c r="AB6" s="185"/>
      <c r="AC6" s="185"/>
      <c r="AD6" s="185"/>
      <c r="AE6" s="185"/>
      <c r="AF6" s="185"/>
      <c r="AG6" s="185"/>
      <c r="AH6" s="185"/>
      <c r="AI6" s="185"/>
    </row>
    <row r="7" spans="1:35" ht="14.25" customHeight="1" x14ac:dyDescent="0.3">
      <c r="A7" s="185"/>
      <c r="B7" s="186" t="s">
        <v>309</v>
      </c>
      <c r="C7" s="187"/>
      <c r="D7" s="188"/>
      <c r="E7" s="195">
        <f>SUM(E5:E6)</f>
        <v>1004.8399999999999</v>
      </c>
      <c r="F7" s="195">
        <f>SUM(F5:F6)</f>
        <v>1120.56</v>
      </c>
      <c r="G7" s="195">
        <f>SUM(G5:G6)</f>
        <v>1179.07</v>
      </c>
      <c r="H7" s="196">
        <f>SUM(H5:H6)</f>
        <v>1250.31</v>
      </c>
      <c r="I7" s="197">
        <f>I14</f>
        <v>1297.7666666666664</v>
      </c>
      <c r="J7" s="195">
        <f>J14</f>
        <v>1350.452222222222</v>
      </c>
      <c r="K7" s="195">
        <f>K14</f>
        <v>1418.436296296296</v>
      </c>
      <c r="L7" s="195">
        <f>L14</f>
        <v>1451.3617283950614</v>
      </c>
      <c r="M7" s="196">
        <f>M14</f>
        <v>1484.226748971193</v>
      </c>
      <c r="N7" s="185"/>
      <c r="O7" s="192"/>
      <c r="P7" s="185"/>
      <c r="Q7" s="185"/>
      <c r="R7" s="185"/>
      <c r="S7" s="185"/>
      <c r="T7" s="185"/>
      <c r="U7" s="185"/>
      <c r="V7" s="185"/>
      <c r="W7" s="185"/>
      <c r="X7" s="185"/>
      <c r="Y7" s="185"/>
      <c r="Z7" s="185"/>
      <c r="AA7" s="185"/>
      <c r="AB7" s="185"/>
      <c r="AC7" s="185"/>
      <c r="AD7" s="185"/>
      <c r="AE7" s="185"/>
      <c r="AF7" s="185"/>
      <c r="AG7" s="185"/>
      <c r="AH7" s="185"/>
      <c r="AI7" s="185"/>
    </row>
    <row r="8" spans="1:35" ht="14.25" customHeight="1" x14ac:dyDescent="0.3">
      <c r="B8" s="148"/>
      <c r="C8" s="148"/>
      <c r="D8" s="198"/>
      <c r="E8" s="199"/>
      <c r="F8" s="199"/>
      <c r="G8" s="199"/>
      <c r="H8" s="200"/>
      <c r="I8" s="103"/>
      <c r="M8" s="104"/>
      <c r="O8" s="148"/>
    </row>
    <row r="9" spans="1:35" ht="14.25" customHeight="1" x14ac:dyDescent="0.3">
      <c r="B9" s="201" t="s">
        <v>310</v>
      </c>
      <c r="C9" s="148"/>
      <c r="D9" s="198"/>
      <c r="E9" s="202">
        <v>980.01</v>
      </c>
      <c r="F9" s="202">
        <f t="shared" ref="F9:M9" si="0">E14</f>
        <v>1004.78</v>
      </c>
      <c r="G9" s="202">
        <f t="shared" si="0"/>
        <v>1120.4899999999998</v>
      </c>
      <c r="H9" s="203">
        <f t="shared" si="0"/>
        <v>1178.4199999999998</v>
      </c>
      <c r="I9" s="204">
        <f t="shared" si="0"/>
        <v>1249.6599999999999</v>
      </c>
      <c r="J9" s="202">
        <f t="shared" si="0"/>
        <v>1297.7666666666664</v>
      </c>
      <c r="K9" s="202">
        <f t="shared" si="0"/>
        <v>1350.452222222222</v>
      </c>
      <c r="L9" s="202">
        <f t="shared" si="0"/>
        <v>1418.436296296296</v>
      </c>
      <c r="M9" s="203">
        <f t="shared" si="0"/>
        <v>1451.3617283950614</v>
      </c>
      <c r="O9" s="148"/>
    </row>
    <row r="10" spans="1:35" ht="14.25" customHeight="1" x14ac:dyDescent="0.3">
      <c r="B10" s="148"/>
      <c r="C10" s="148"/>
      <c r="D10" s="198"/>
      <c r="E10" s="199"/>
      <c r="F10" s="199"/>
      <c r="G10" s="199"/>
      <c r="H10" s="200"/>
      <c r="I10" s="103"/>
      <c r="M10" s="104"/>
      <c r="O10" s="148"/>
    </row>
    <row r="11" spans="1:35" ht="54.75" customHeight="1" x14ac:dyDescent="0.3">
      <c r="A11" s="205"/>
      <c r="B11" s="206" t="s">
        <v>311</v>
      </c>
      <c r="C11" s="207"/>
      <c r="D11" s="208"/>
      <c r="E11" s="209">
        <v>37.869999999999997</v>
      </c>
      <c r="F11" s="209">
        <v>121.34</v>
      </c>
      <c r="G11" s="209">
        <v>66.14</v>
      </c>
      <c r="H11" s="210">
        <v>78.08</v>
      </c>
      <c r="I11" s="211">
        <v>55</v>
      </c>
      <c r="J11" s="212">
        <v>60</v>
      </c>
      <c r="K11" s="212">
        <v>75</v>
      </c>
      <c r="L11" s="212">
        <v>40</v>
      </c>
      <c r="M11" s="213">
        <v>40</v>
      </c>
      <c r="N11" s="205"/>
      <c r="O11" s="214" t="s">
        <v>312</v>
      </c>
    </row>
    <row r="12" spans="1:35" ht="14.25" customHeight="1" x14ac:dyDescent="0.3">
      <c r="A12" s="205"/>
      <c r="B12" s="206"/>
      <c r="C12" s="207" t="s">
        <v>313</v>
      </c>
      <c r="D12" s="215"/>
      <c r="E12" s="216"/>
      <c r="F12" s="216"/>
      <c r="G12" s="216"/>
      <c r="H12" s="217"/>
      <c r="I12" s="218"/>
      <c r="J12" s="219"/>
      <c r="K12" s="219"/>
      <c r="L12" s="219"/>
      <c r="M12" s="220"/>
      <c r="N12" s="219"/>
      <c r="O12" s="221"/>
    </row>
    <row r="13" spans="1:35" ht="54.75" customHeight="1" x14ac:dyDescent="0.3">
      <c r="B13" s="201" t="s">
        <v>314</v>
      </c>
      <c r="C13" s="148"/>
      <c r="D13" s="198"/>
      <c r="E13" s="202">
        <v>13.1</v>
      </c>
      <c r="F13" s="202">
        <v>5.63</v>
      </c>
      <c r="G13" s="202">
        <v>8.2100000000000009</v>
      </c>
      <c r="H13" s="203">
        <v>6.84</v>
      </c>
      <c r="I13" s="204">
        <f>AVERAGE(F13:H13)</f>
        <v>6.8933333333333335</v>
      </c>
      <c r="J13" s="202">
        <f>AVERAGE(G13:I13)</f>
        <v>7.3144444444444447</v>
      </c>
      <c r="K13" s="202">
        <f>AVERAGE(H13:J13)</f>
        <v>7.0159259259259263</v>
      </c>
      <c r="L13" s="202">
        <f>AVERAGE(I13:K13)</f>
        <v>7.0745679012345688</v>
      </c>
      <c r="M13" s="203">
        <f>AVERAGE(J13:L13)</f>
        <v>7.1349794238683133</v>
      </c>
      <c r="O13" s="222" t="s">
        <v>315</v>
      </c>
    </row>
    <row r="14" spans="1:35" ht="14.25" customHeight="1" x14ac:dyDescent="0.3">
      <c r="A14" s="223"/>
      <c r="B14" s="224" t="s">
        <v>309</v>
      </c>
      <c r="C14" s="225"/>
      <c r="D14" s="198"/>
      <c r="E14" s="226">
        <f t="shared" ref="E14:M14" si="1">E9+E11-E13</f>
        <v>1004.78</v>
      </c>
      <c r="F14" s="226">
        <f t="shared" si="1"/>
        <v>1120.4899999999998</v>
      </c>
      <c r="G14" s="226">
        <f t="shared" si="1"/>
        <v>1178.4199999999998</v>
      </c>
      <c r="H14" s="227">
        <f t="shared" si="1"/>
        <v>1249.6599999999999</v>
      </c>
      <c r="I14" s="228">
        <f t="shared" si="1"/>
        <v>1297.7666666666664</v>
      </c>
      <c r="J14" s="226">
        <f t="shared" si="1"/>
        <v>1350.452222222222</v>
      </c>
      <c r="K14" s="226">
        <f t="shared" si="1"/>
        <v>1418.436296296296</v>
      </c>
      <c r="L14" s="226">
        <f t="shared" si="1"/>
        <v>1451.3617283950614</v>
      </c>
      <c r="M14" s="227">
        <f t="shared" si="1"/>
        <v>1484.226748971193</v>
      </c>
      <c r="N14" s="223"/>
      <c r="O14" s="229"/>
      <c r="P14" s="223"/>
      <c r="Q14" s="223"/>
      <c r="R14" s="223"/>
      <c r="S14" s="223"/>
      <c r="T14" s="223"/>
      <c r="U14" s="223"/>
      <c r="V14" s="223"/>
      <c r="W14" s="223"/>
      <c r="X14" s="223"/>
      <c r="Y14" s="223"/>
      <c r="Z14" s="223"/>
      <c r="AA14" s="223"/>
      <c r="AB14" s="223"/>
      <c r="AC14" s="223"/>
      <c r="AD14" s="223"/>
      <c r="AE14" s="223"/>
      <c r="AF14" s="223"/>
      <c r="AG14" s="223"/>
      <c r="AH14" s="223"/>
      <c r="AI14" s="223"/>
    </row>
    <row r="15" spans="1:35" s="223" customFormat="1" ht="14.25" customHeight="1" x14ac:dyDescent="0.3">
      <c r="A15" s="230"/>
      <c r="B15" s="231" t="s">
        <v>237</v>
      </c>
      <c r="C15" s="232"/>
      <c r="D15" s="198"/>
      <c r="E15" s="233">
        <f>ROUND(E7-E14,0)</f>
        <v>0</v>
      </c>
      <c r="F15" s="233">
        <f>ROUND(F7-F14,0)</f>
        <v>0</v>
      </c>
      <c r="G15" s="233">
        <f>ROUNDDOWN(G7-G14,0)</f>
        <v>0</v>
      </c>
      <c r="H15" s="234">
        <f>ROUNDDOWN(H7-H14,0)</f>
        <v>0</v>
      </c>
      <c r="I15" s="235">
        <f>ROUND(I7-I14,0)</f>
        <v>0</v>
      </c>
      <c r="J15" s="233">
        <f>ROUND(J7-J14,0)</f>
        <v>0</v>
      </c>
      <c r="K15" s="233">
        <f>ROUND(K7-K14,0)</f>
        <v>0</v>
      </c>
      <c r="L15" s="233">
        <f>ROUND(L7-L14,0)</f>
        <v>0</v>
      </c>
      <c r="M15" s="234">
        <f>ROUND(M7-M14,0)</f>
        <v>0</v>
      </c>
      <c r="N15" s="236"/>
      <c r="O15" s="237"/>
      <c r="P15" s="230"/>
      <c r="Q15" s="230"/>
      <c r="R15" s="230"/>
      <c r="S15" s="230"/>
      <c r="T15" s="230"/>
      <c r="U15" s="230"/>
      <c r="V15" s="230"/>
      <c r="W15" s="230"/>
      <c r="X15" s="230"/>
      <c r="Y15" s="230"/>
      <c r="Z15" s="230"/>
      <c r="AA15" s="230"/>
      <c r="AB15" s="230"/>
      <c r="AC15" s="230"/>
      <c r="AD15" s="230"/>
      <c r="AE15" s="230"/>
      <c r="AF15" s="230"/>
      <c r="AG15" s="230"/>
      <c r="AH15" s="230"/>
      <c r="AI15" s="230"/>
    </row>
    <row r="16" spans="1:35" ht="14.25" customHeight="1" x14ac:dyDescent="0.3">
      <c r="A16" s="205"/>
      <c r="B16" s="206"/>
      <c r="C16" s="207"/>
      <c r="D16" s="198"/>
      <c r="E16" s="216"/>
      <c r="F16" s="216"/>
      <c r="G16" s="216"/>
      <c r="H16" s="217"/>
      <c r="I16" s="218"/>
      <c r="J16" s="219"/>
      <c r="K16" s="219"/>
      <c r="L16" s="219"/>
      <c r="M16" s="220"/>
      <c r="N16" s="219"/>
      <c r="O16" s="221"/>
    </row>
    <row r="17" spans="1:35" ht="14.25" customHeight="1" x14ac:dyDescent="0.3">
      <c r="A17" s="205"/>
      <c r="B17" s="206" t="s">
        <v>316</v>
      </c>
      <c r="C17" s="207"/>
      <c r="D17" s="198"/>
      <c r="E17" s="202">
        <f t="shared" ref="E17:M17" si="2">D21</f>
        <v>80.150000000000006</v>
      </c>
      <c r="F17" s="202">
        <f t="shared" si="2"/>
        <v>86.939999999999969</v>
      </c>
      <c r="G17" s="202">
        <f t="shared" si="2"/>
        <v>61.619999999999976</v>
      </c>
      <c r="H17" s="203">
        <f t="shared" si="2"/>
        <v>68.239999999999966</v>
      </c>
      <c r="I17" s="204">
        <f t="shared" si="2"/>
        <v>133.19999999999993</v>
      </c>
      <c r="J17" s="202">
        <f t="shared" si="2"/>
        <v>146.99999999999994</v>
      </c>
      <c r="K17" s="202">
        <f t="shared" si="2"/>
        <v>176.99999999999994</v>
      </c>
      <c r="L17" s="202">
        <f t="shared" si="2"/>
        <v>217</v>
      </c>
      <c r="M17" s="203">
        <f t="shared" si="2"/>
        <v>242</v>
      </c>
      <c r="N17" s="205"/>
      <c r="O17" s="214"/>
    </row>
    <row r="18" spans="1:35" ht="95.25" customHeight="1" x14ac:dyDescent="0.3">
      <c r="A18" s="205"/>
      <c r="B18" s="206" t="s">
        <v>317</v>
      </c>
      <c r="C18" s="207"/>
      <c r="D18" s="198"/>
      <c r="E18" s="209">
        <v>241.12</v>
      </c>
      <c r="F18" s="209">
        <v>96.02</v>
      </c>
      <c r="G18" s="209">
        <v>76.86</v>
      </c>
      <c r="H18" s="210">
        <v>798.04</v>
      </c>
      <c r="I18" s="211">
        <v>138</v>
      </c>
      <c r="J18" s="212">
        <v>300</v>
      </c>
      <c r="K18" s="212">
        <v>400</v>
      </c>
      <c r="L18" s="212">
        <v>250</v>
      </c>
      <c r="M18" s="213">
        <v>150</v>
      </c>
      <c r="N18" s="205"/>
      <c r="O18" s="214" t="s">
        <v>318</v>
      </c>
    </row>
    <row r="19" spans="1:35" ht="68.25" customHeight="1" x14ac:dyDescent="0.3">
      <c r="A19" s="205"/>
      <c r="B19" s="206" t="s">
        <v>319</v>
      </c>
      <c r="C19" s="207"/>
      <c r="D19" s="208"/>
      <c r="E19" s="209">
        <v>234.33</v>
      </c>
      <c r="F19" s="209">
        <v>121.34</v>
      </c>
      <c r="G19" s="209">
        <v>66.709999999999994</v>
      </c>
      <c r="H19" s="210">
        <v>733.08</v>
      </c>
      <c r="I19" s="238">
        <f>0.9*I18</f>
        <v>124.2</v>
      </c>
      <c r="J19" s="239">
        <f>0.9*J18</f>
        <v>270</v>
      </c>
      <c r="K19" s="239">
        <f>0.9*K18</f>
        <v>360</v>
      </c>
      <c r="L19" s="239">
        <f>0.9*L18</f>
        <v>225</v>
      </c>
      <c r="M19" s="240">
        <f>0.9*M18</f>
        <v>135</v>
      </c>
      <c r="N19" s="205"/>
      <c r="O19" s="214" t="s">
        <v>320</v>
      </c>
    </row>
    <row r="20" spans="1:35" ht="14.25" customHeight="1" x14ac:dyDescent="0.3">
      <c r="A20" s="205"/>
      <c r="B20" s="206" t="s">
        <v>321</v>
      </c>
      <c r="C20" s="207"/>
      <c r="D20" s="208"/>
      <c r="E20" s="209">
        <v>0</v>
      </c>
      <c r="F20" s="209">
        <v>0</v>
      </c>
      <c r="G20" s="209">
        <v>3.53</v>
      </c>
      <c r="H20" s="210">
        <v>0</v>
      </c>
      <c r="I20" s="211">
        <v>0</v>
      </c>
      <c r="J20" s="212">
        <v>0</v>
      </c>
      <c r="K20" s="212">
        <v>0</v>
      </c>
      <c r="L20" s="212">
        <v>0</v>
      </c>
      <c r="M20" s="213">
        <v>0</v>
      </c>
      <c r="N20" s="205"/>
      <c r="O20" s="214" t="s">
        <v>322</v>
      </c>
    </row>
    <row r="21" spans="1:35" ht="14.25" customHeight="1" x14ac:dyDescent="0.3">
      <c r="A21" s="219"/>
      <c r="B21" s="241" t="s">
        <v>323</v>
      </c>
      <c r="C21" s="242"/>
      <c r="D21" s="228">
        <f>'BALANCE SHEET'!C9</f>
        <v>80.150000000000006</v>
      </c>
      <c r="E21" s="226">
        <f t="shared" ref="E21:M21" si="3">SUM(E17,E18,-E19,-E20)</f>
        <v>86.939999999999969</v>
      </c>
      <c r="F21" s="226">
        <f t="shared" si="3"/>
        <v>61.619999999999976</v>
      </c>
      <c r="G21" s="226">
        <f t="shared" si="3"/>
        <v>68.239999999999966</v>
      </c>
      <c r="H21" s="227">
        <f t="shared" si="3"/>
        <v>133.19999999999993</v>
      </c>
      <c r="I21" s="228">
        <f t="shared" si="3"/>
        <v>146.99999999999994</v>
      </c>
      <c r="J21" s="226">
        <f t="shared" si="3"/>
        <v>176.99999999999994</v>
      </c>
      <c r="K21" s="226">
        <f t="shared" si="3"/>
        <v>217</v>
      </c>
      <c r="L21" s="226">
        <f t="shared" si="3"/>
        <v>242</v>
      </c>
      <c r="M21" s="227">
        <f t="shared" si="3"/>
        <v>257</v>
      </c>
      <c r="N21" s="219"/>
      <c r="O21" s="221"/>
      <c r="P21" s="223"/>
      <c r="Q21" s="223"/>
      <c r="R21" s="223"/>
      <c r="S21" s="223"/>
      <c r="T21" s="223"/>
      <c r="U21" s="223"/>
      <c r="V21" s="223"/>
      <c r="W21" s="223"/>
      <c r="X21" s="223"/>
      <c r="Y21" s="223"/>
      <c r="Z21" s="223"/>
      <c r="AA21" s="223"/>
      <c r="AB21" s="223"/>
      <c r="AC21" s="223"/>
      <c r="AD21" s="223"/>
      <c r="AE21" s="223"/>
      <c r="AF21" s="223"/>
      <c r="AG21" s="223"/>
      <c r="AH21" s="223"/>
      <c r="AI21" s="223"/>
    </row>
    <row r="22" spans="1:35" s="223" customFormat="1" ht="14.25" customHeight="1" x14ac:dyDescent="0.3">
      <c r="A22" s="230"/>
      <c r="B22" s="231" t="s">
        <v>237</v>
      </c>
      <c r="C22" s="232"/>
      <c r="D22" s="198"/>
      <c r="E22" s="233">
        <f>ROUND(E21-'BALANCE SHEET'!D9,0)</f>
        <v>0</v>
      </c>
      <c r="F22" s="233">
        <f>ROUND(F21-'BALANCE SHEET'!E9,0)</f>
        <v>0</v>
      </c>
      <c r="G22" s="233">
        <f>ROUND(G21-'BALANCE SHEET'!F9,0)</f>
        <v>0</v>
      </c>
      <c r="H22" s="234">
        <f>ROUND(H21-'BALANCE SHEET'!G9,0)</f>
        <v>0</v>
      </c>
      <c r="I22" s="235">
        <f>ROUND(I21-'BALANCE SHEET'!H9,0)</f>
        <v>0</v>
      </c>
      <c r="J22" s="233">
        <f>ROUND(J21-'BALANCE SHEET'!I9,0)</f>
        <v>0</v>
      </c>
      <c r="K22" s="233">
        <f>ROUND(K21-'BALANCE SHEET'!J9,0)</f>
        <v>0</v>
      </c>
      <c r="L22" s="233">
        <f>ROUND(L21-'BALANCE SHEET'!K9,0)</f>
        <v>0</v>
      </c>
      <c r="M22" s="234">
        <f>ROUND(M21-'BALANCE SHEET'!L9,0)</f>
        <v>0</v>
      </c>
      <c r="N22" s="236"/>
      <c r="O22" s="237"/>
      <c r="P22" s="230"/>
      <c r="Q22" s="230"/>
      <c r="R22" s="230"/>
      <c r="S22" s="230"/>
      <c r="T22" s="230"/>
      <c r="U22" s="230"/>
      <c r="V22" s="230"/>
      <c r="W22" s="230"/>
      <c r="X22" s="230"/>
      <c r="Y22" s="230"/>
      <c r="Z22" s="230"/>
      <c r="AA22" s="230"/>
      <c r="AB22" s="230"/>
      <c r="AC22" s="230"/>
      <c r="AD22" s="230"/>
      <c r="AE22" s="230"/>
      <c r="AF22" s="230"/>
      <c r="AG22" s="230"/>
      <c r="AH22" s="230"/>
      <c r="AI22" s="230"/>
    </row>
    <row r="23" spans="1:35" ht="14.25" customHeight="1" x14ac:dyDescent="0.3">
      <c r="B23" s="148"/>
      <c r="C23" s="148"/>
      <c r="D23" s="198"/>
      <c r="H23" s="104"/>
      <c r="I23" s="103"/>
      <c r="M23" s="104"/>
      <c r="O23" s="148"/>
    </row>
    <row r="24" spans="1:35" ht="14.25" customHeight="1" x14ac:dyDescent="0.3">
      <c r="B24" s="201" t="s">
        <v>324</v>
      </c>
      <c r="C24" s="148"/>
      <c r="D24" s="198"/>
      <c r="E24" s="202">
        <f t="shared" ref="E24:M24" si="4">D7-D21</f>
        <v>-80.150000000000006</v>
      </c>
      <c r="F24" s="202">
        <f t="shared" si="4"/>
        <v>917.9</v>
      </c>
      <c r="G24" s="202">
        <f t="shared" si="4"/>
        <v>1058.94</v>
      </c>
      <c r="H24" s="203">
        <f t="shared" si="4"/>
        <v>1110.83</v>
      </c>
      <c r="I24" s="204">
        <f t="shared" si="4"/>
        <v>1117.1100000000001</v>
      </c>
      <c r="J24" s="202">
        <f t="shared" si="4"/>
        <v>1150.7666666666664</v>
      </c>
      <c r="K24" s="202">
        <f t="shared" si="4"/>
        <v>1173.452222222222</v>
      </c>
      <c r="L24" s="202">
        <f t="shared" si="4"/>
        <v>1201.436296296296</v>
      </c>
      <c r="M24" s="203">
        <f t="shared" si="4"/>
        <v>1209.3617283950614</v>
      </c>
      <c r="O24" s="148"/>
    </row>
    <row r="25" spans="1:35" ht="14.25" customHeight="1" x14ac:dyDescent="0.3">
      <c r="B25" s="224" t="s">
        <v>325</v>
      </c>
      <c r="C25" s="225"/>
      <c r="D25" s="198"/>
      <c r="E25" s="202">
        <f t="shared" ref="E25:M25" si="5">E14-E21</f>
        <v>917.84</v>
      </c>
      <c r="F25" s="202">
        <f t="shared" si="5"/>
        <v>1058.8699999999999</v>
      </c>
      <c r="G25" s="202">
        <f t="shared" si="5"/>
        <v>1110.1799999999998</v>
      </c>
      <c r="H25" s="203">
        <f t="shared" si="5"/>
        <v>1116.46</v>
      </c>
      <c r="I25" s="204">
        <f t="shared" si="5"/>
        <v>1150.7666666666664</v>
      </c>
      <c r="J25" s="202">
        <f t="shared" si="5"/>
        <v>1173.452222222222</v>
      </c>
      <c r="K25" s="202">
        <f t="shared" si="5"/>
        <v>1201.436296296296</v>
      </c>
      <c r="L25" s="202">
        <f t="shared" si="5"/>
        <v>1209.3617283950614</v>
      </c>
      <c r="M25" s="203">
        <f t="shared" si="5"/>
        <v>1227.226748971193</v>
      </c>
      <c r="O25" s="148"/>
    </row>
    <row r="26" spans="1:35" ht="14.25" customHeight="1" x14ac:dyDescent="0.3">
      <c r="B26" s="201" t="s">
        <v>326</v>
      </c>
      <c r="C26" s="148"/>
      <c r="D26" s="198"/>
      <c r="E26" s="202">
        <f t="shared" ref="E26:M26" si="6">AVERAGE(E24:E25)</f>
        <v>418.84500000000003</v>
      </c>
      <c r="F26" s="202">
        <f t="shared" si="6"/>
        <v>988.38499999999999</v>
      </c>
      <c r="G26" s="202">
        <f t="shared" si="6"/>
        <v>1084.56</v>
      </c>
      <c r="H26" s="203">
        <f t="shared" si="6"/>
        <v>1113.645</v>
      </c>
      <c r="I26" s="204">
        <f t="shared" si="6"/>
        <v>1133.9383333333333</v>
      </c>
      <c r="J26" s="202">
        <f t="shared" si="6"/>
        <v>1162.1094444444443</v>
      </c>
      <c r="K26" s="202">
        <f t="shared" si="6"/>
        <v>1187.4442592592591</v>
      </c>
      <c r="L26" s="202">
        <f t="shared" si="6"/>
        <v>1205.3990123456788</v>
      </c>
      <c r="M26" s="203">
        <f t="shared" si="6"/>
        <v>1218.2942386831273</v>
      </c>
      <c r="O26" s="148"/>
    </row>
    <row r="27" spans="1:35" ht="41.25" customHeight="1" x14ac:dyDescent="0.3">
      <c r="A27" s="243"/>
      <c r="B27" s="193" t="s">
        <v>327</v>
      </c>
      <c r="C27" s="244" t="s">
        <v>313</v>
      </c>
      <c r="D27" s="245"/>
      <c r="E27" s="246">
        <f>E30/E26</f>
        <v>0.15086726593369862</v>
      </c>
      <c r="F27" s="246">
        <f>F30/F26</f>
        <v>5.7639482590286173E-2</v>
      </c>
      <c r="G27" s="246">
        <f>G30/G26</f>
        <v>5.8844139558899465E-2</v>
      </c>
      <c r="H27" s="247">
        <f>H30/H26</f>
        <v>7.567941309842903E-2</v>
      </c>
      <c r="I27" s="248">
        <f>AVERAGE(F27:H27)</f>
        <v>6.4054345082538225E-2</v>
      </c>
      <c r="J27" s="246">
        <f>AVERAGE(G27:I27)</f>
        <v>6.6192632579955571E-2</v>
      </c>
      <c r="K27" s="246">
        <f>AVERAGE(H27:J27)</f>
        <v>6.8642130253640951E-2</v>
      </c>
      <c r="L27" s="246">
        <f>AVERAGE(I27:K27)</f>
        <v>6.6296369305378244E-2</v>
      </c>
      <c r="M27" s="247">
        <f>AVERAGE(J27:L27)</f>
        <v>6.7043710712991589E-2</v>
      </c>
      <c r="N27" s="243"/>
      <c r="O27" s="249" t="s">
        <v>328</v>
      </c>
      <c r="P27" s="243"/>
      <c r="Q27" s="243"/>
      <c r="R27" s="243"/>
      <c r="S27" s="243"/>
      <c r="T27" s="243"/>
      <c r="U27" s="243"/>
      <c r="V27" s="243"/>
      <c r="W27" s="243"/>
      <c r="X27" s="243"/>
      <c r="Y27" s="243"/>
      <c r="Z27" s="243"/>
      <c r="AA27" s="243"/>
      <c r="AB27" s="243"/>
      <c r="AC27" s="243"/>
      <c r="AD27" s="243"/>
      <c r="AE27" s="243"/>
      <c r="AF27" s="243"/>
      <c r="AG27" s="243"/>
      <c r="AH27" s="243"/>
      <c r="AI27" s="243"/>
    </row>
    <row r="28" spans="1:35" ht="14.25" customHeight="1" x14ac:dyDescent="0.3">
      <c r="A28" s="250"/>
      <c r="B28" s="251"/>
      <c r="C28" s="252"/>
      <c r="D28" s="253"/>
      <c r="E28" s="250"/>
      <c r="F28" s="250"/>
      <c r="G28" s="250"/>
      <c r="H28" s="254"/>
      <c r="I28" s="255"/>
      <c r="J28" s="250"/>
      <c r="K28" s="250"/>
      <c r="L28" s="250"/>
      <c r="M28" s="254"/>
      <c r="N28" s="250"/>
      <c r="O28" s="256"/>
      <c r="P28" s="250"/>
      <c r="Q28" s="250"/>
      <c r="R28" s="250"/>
      <c r="S28" s="250"/>
      <c r="T28" s="250"/>
      <c r="U28" s="250"/>
      <c r="V28" s="250"/>
      <c r="W28" s="250"/>
      <c r="X28" s="250"/>
      <c r="Y28" s="250"/>
      <c r="Z28" s="250"/>
      <c r="AA28" s="250"/>
      <c r="AB28" s="250"/>
      <c r="AC28" s="250"/>
      <c r="AD28" s="250"/>
      <c r="AE28" s="250"/>
      <c r="AF28" s="250"/>
      <c r="AG28" s="250"/>
      <c r="AH28" s="250"/>
      <c r="AI28" s="250"/>
    </row>
    <row r="29" spans="1:35" ht="14.25" customHeight="1" x14ac:dyDescent="0.3">
      <c r="A29" s="257"/>
      <c r="B29" s="201" t="s">
        <v>329</v>
      </c>
      <c r="C29" s="258"/>
      <c r="D29" s="259"/>
      <c r="E29" s="239">
        <f>'INCOME STATEMENT'!C93</f>
        <v>237.16</v>
      </c>
      <c r="F29" s="239">
        <f>'INCOME STATEMENT'!D93</f>
        <v>291.3</v>
      </c>
      <c r="G29" s="239">
        <f>'INCOME STATEMENT'!E93</f>
        <v>342.93</v>
      </c>
      <c r="H29" s="240">
        <f>'INCOME STATEMENT'!F93</f>
        <v>398.77</v>
      </c>
      <c r="I29" s="238">
        <f>H32</f>
        <v>476.36999999999995</v>
      </c>
      <c r="J29" s="239">
        <f>I32</f>
        <v>542.31714397231815</v>
      </c>
      <c r="K29" s="239">
        <f>J32</f>
        <v>612.14521633501442</v>
      </c>
      <c r="L29" s="239">
        <f>K32</f>
        <v>686.84847169987859</v>
      </c>
      <c r="M29" s="240">
        <f>L32</f>
        <v>759.89971891848836</v>
      </c>
      <c r="N29" s="257"/>
      <c r="O29" s="260"/>
      <c r="P29" s="257"/>
      <c r="Q29" s="257"/>
      <c r="R29" s="257"/>
      <c r="S29" s="257"/>
      <c r="T29" s="257"/>
      <c r="U29" s="257"/>
      <c r="V29" s="257"/>
      <c r="W29" s="257"/>
      <c r="X29" s="257"/>
      <c r="Y29" s="257"/>
      <c r="Z29" s="257"/>
      <c r="AA29" s="257"/>
      <c r="AB29" s="257"/>
      <c r="AC29" s="257"/>
      <c r="AD29" s="257"/>
      <c r="AE29" s="257"/>
      <c r="AF29" s="257"/>
      <c r="AG29" s="257"/>
      <c r="AH29" s="257"/>
      <c r="AI29" s="257"/>
    </row>
    <row r="30" spans="1:35" ht="14.25" customHeight="1" x14ac:dyDescent="0.3">
      <c r="B30" s="201" t="s">
        <v>330</v>
      </c>
      <c r="C30" s="148"/>
      <c r="D30" s="198"/>
      <c r="E30" s="202">
        <f>'INCOME STATEMENT'!D31</f>
        <v>63.19</v>
      </c>
      <c r="F30" s="202">
        <f>'INCOME STATEMENT'!E31</f>
        <v>56.97</v>
      </c>
      <c r="G30" s="202">
        <f>'INCOME STATEMENT'!F31</f>
        <v>63.82</v>
      </c>
      <c r="H30" s="203">
        <f>'INCOME STATEMENT'!G31</f>
        <v>84.28</v>
      </c>
      <c r="I30" s="238">
        <f>I27*I26</f>
        <v>72.633677305651588</v>
      </c>
      <c r="J30" s="239">
        <f>J27*J26</f>
        <v>76.923083473807395</v>
      </c>
      <c r="K30" s="239">
        <f>K27*K26</f>
        <v>81.50870351301225</v>
      </c>
      <c r="L30" s="239">
        <f>L27*L26</f>
        <v>79.913578082807305</v>
      </c>
      <c r="M30" s="240">
        <f>M27*M26</f>
        <v>81.678966501575914</v>
      </c>
      <c r="O30" s="222" t="s">
        <v>331</v>
      </c>
    </row>
    <row r="31" spans="1:35" ht="41.25" customHeight="1" x14ac:dyDescent="0.3">
      <c r="A31" s="205"/>
      <c r="B31" s="206" t="s">
        <v>332</v>
      </c>
      <c r="C31" s="207" t="s">
        <v>333</v>
      </c>
      <c r="D31" s="208"/>
      <c r="E31" s="209">
        <v>9.0500000000000007</v>
      </c>
      <c r="F31" s="209">
        <v>5.34</v>
      </c>
      <c r="G31" s="209">
        <v>7.98</v>
      </c>
      <c r="H31" s="210">
        <v>6.68</v>
      </c>
      <c r="I31" s="238">
        <f>0.97*I13</f>
        <v>6.6865333333333332</v>
      </c>
      <c r="J31" s="239">
        <f>0.97*J13</f>
        <v>7.0950111111111109</v>
      </c>
      <c r="K31" s="239">
        <f>0.97*K13</f>
        <v>6.8054481481481481</v>
      </c>
      <c r="L31" s="239">
        <f>0.97*L13</f>
        <v>6.8623308641975314</v>
      </c>
      <c r="M31" s="240">
        <f>0.97*M13</f>
        <v>6.9209300411522641</v>
      </c>
      <c r="N31" s="205"/>
      <c r="O31" s="214" t="s">
        <v>334</v>
      </c>
    </row>
    <row r="32" spans="1:35" ht="14.25" customHeight="1" x14ac:dyDescent="0.3">
      <c r="A32" s="223"/>
      <c r="B32" s="224" t="s">
        <v>335</v>
      </c>
      <c r="C32" s="225"/>
      <c r="D32" s="208"/>
      <c r="E32" s="226">
        <f t="shared" ref="E32:M32" si="7">E29+E30-E31</f>
        <v>291.3</v>
      </c>
      <c r="F32" s="226">
        <f t="shared" si="7"/>
        <v>342.93</v>
      </c>
      <c r="G32" s="226">
        <f t="shared" si="7"/>
        <v>398.77</v>
      </c>
      <c r="H32" s="227">
        <f t="shared" si="7"/>
        <v>476.36999999999995</v>
      </c>
      <c r="I32" s="228">
        <f t="shared" si="7"/>
        <v>542.31714397231815</v>
      </c>
      <c r="J32" s="226">
        <f t="shared" si="7"/>
        <v>612.14521633501442</v>
      </c>
      <c r="K32" s="226">
        <f t="shared" si="7"/>
        <v>686.84847169987859</v>
      </c>
      <c r="L32" s="226">
        <f t="shared" si="7"/>
        <v>759.89971891848836</v>
      </c>
      <c r="M32" s="227">
        <f t="shared" si="7"/>
        <v>834.65775537891204</v>
      </c>
      <c r="N32" s="223"/>
      <c r="O32" s="229"/>
      <c r="P32" s="223"/>
      <c r="Q32" s="223"/>
      <c r="R32" s="223"/>
      <c r="S32" s="223"/>
      <c r="T32" s="223"/>
      <c r="U32" s="223"/>
      <c r="V32" s="223"/>
      <c r="W32" s="223"/>
      <c r="X32" s="223"/>
      <c r="Y32" s="223"/>
      <c r="Z32" s="223"/>
      <c r="AA32" s="223"/>
      <c r="AB32" s="223"/>
      <c r="AC32" s="223"/>
      <c r="AD32" s="223"/>
      <c r="AE32" s="223"/>
      <c r="AF32" s="223"/>
      <c r="AG32" s="223"/>
      <c r="AH32" s="223"/>
      <c r="AI32" s="223"/>
    </row>
    <row r="33" spans="1:35" s="223" customFormat="1" ht="14.25" customHeight="1" x14ac:dyDescent="0.3">
      <c r="A33" s="230"/>
      <c r="B33" s="231" t="s">
        <v>237</v>
      </c>
      <c r="C33" s="232"/>
      <c r="D33" s="208"/>
      <c r="E33" s="261">
        <f>ROUND(E32-'INCOME STATEMENT'!D93,0)</f>
        <v>0</v>
      </c>
      <c r="F33" s="261">
        <f>ROUND(F32-'INCOME STATEMENT'!E93,0)</f>
        <v>0</v>
      </c>
      <c r="G33" s="261">
        <f>ROUND(G32-'INCOME STATEMENT'!F93,0)</f>
        <v>0</v>
      </c>
      <c r="H33" s="262">
        <f>ROUND(H32-'INCOME STATEMENT'!G93,0)</f>
        <v>0</v>
      </c>
      <c r="I33" s="263">
        <f>ROUND(I32-'INCOME STATEMENT'!H93,0)</f>
        <v>0</v>
      </c>
      <c r="J33" s="261">
        <f>ROUND(J32-'INCOME STATEMENT'!I93,0)</f>
        <v>0</v>
      </c>
      <c r="K33" s="261">
        <f>ROUND(K32-'INCOME STATEMENT'!J93,0)</f>
        <v>0</v>
      </c>
      <c r="L33" s="261">
        <f>ROUND(L32-'INCOME STATEMENT'!K93,0)</f>
        <v>0</v>
      </c>
      <c r="M33" s="262">
        <f>ROUND(M32-'INCOME STATEMENT'!L93,0)</f>
        <v>0</v>
      </c>
      <c r="N33" s="236"/>
      <c r="O33" s="237"/>
      <c r="P33" s="230"/>
      <c r="Q33" s="230"/>
      <c r="R33" s="230"/>
      <c r="S33" s="230"/>
      <c r="T33" s="230"/>
      <c r="U33" s="230"/>
      <c r="V33" s="230"/>
      <c r="W33" s="230"/>
      <c r="X33" s="230"/>
      <c r="Y33" s="230"/>
      <c r="Z33" s="230"/>
      <c r="AA33" s="230"/>
      <c r="AB33" s="230"/>
      <c r="AC33" s="230"/>
      <c r="AD33" s="230"/>
      <c r="AE33" s="230"/>
      <c r="AF33" s="230"/>
      <c r="AG33" s="230"/>
      <c r="AH33" s="230"/>
      <c r="AI33" s="230"/>
    </row>
    <row r="34" spans="1:35" ht="14.25" customHeight="1" x14ac:dyDescent="0.3">
      <c r="B34" s="148"/>
      <c r="C34" s="148"/>
      <c r="D34" s="208"/>
      <c r="E34" s="264"/>
      <c r="F34" s="264"/>
      <c r="G34" s="264"/>
      <c r="H34" s="265"/>
      <c r="I34" s="266"/>
      <c r="J34" s="223"/>
      <c r="K34" s="223"/>
      <c r="L34" s="223"/>
      <c r="M34" s="267"/>
      <c r="N34" s="223"/>
      <c r="O34" s="229"/>
    </row>
    <row r="35" spans="1:35" ht="14.25" customHeight="1" x14ac:dyDescent="0.3">
      <c r="B35" s="224" t="s">
        <v>336</v>
      </c>
      <c r="C35" s="225"/>
      <c r="D35" s="208"/>
      <c r="E35" s="226">
        <f t="shared" ref="E35:M35" si="8">E14-E32</f>
        <v>713.48</v>
      </c>
      <c r="F35" s="226">
        <f t="shared" si="8"/>
        <v>777.55999999999972</v>
      </c>
      <c r="G35" s="226">
        <f t="shared" si="8"/>
        <v>779.64999999999986</v>
      </c>
      <c r="H35" s="227">
        <f t="shared" si="8"/>
        <v>773.29</v>
      </c>
      <c r="I35" s="228">
        <f t="shared" si="8"/>
        <v>755.44952269434827</v>
      </c>
      <c r="J35" s="226">
        <f t="shared" si="8"/>
        <v>738.30700588720754</v>
      </c>
      <c r="K35" s="226">
        <f t="shared" si="8"/>
        <v>731.58782459641736</v>
      </c>
      <c r="L35" s="226">
        <f t="shared" si="8"/>
        <v>691.46200947657303</v>
      </c>
      <c r="M35" s="227">
        <f t="shared" si="8"/>
        <v>649.568993592281</v>
      </c>
      <c r="N35" s="223"/>
      <c r="O35" s="229"/>
    </row>
    <row r="36" spans="1:35" s="223" customFormat="1" ht="14.25" customHeight="1" x14ac:dyDescent="0.3">
      <c r="A36" s="230"/>
      <c r="B36" s="231" t="s">
        <v>237</v>
      </c>
      <c r="C36" s="232"/>
      <c r="D36" s="208"/>
      <c r="E36" s="261">
        <f>ROUNDDOWN(E35-E5,0)</f>
        <v>0</v>
      </c>
      <c r="F36" s="261">
        <f>ROUNDDOWN(F35-F5,0)</f>
        <v>0</v>
      </c>
      <c r="G36" s="261">
        <f>ROUNDDOWN(G35-G5,0)</f>
        <v>0</v>
      </c>
      <c r="H36" s="262">
        <f>ROUNDDOWN(H35-H5,0)</f>
        <v>0</v>
      </c>
      <c r="I36" s="263">
        <f>ROUND(I35-I5,0)</f>
        <v>0</v>
      </c>
      <c r="J36" s="261">
        <f>ROUND(J35-J5,0)</f>
        <v>0</v>
      </c>
      <c r="K36" s="261">
        <f>ROUND(K35-K5,0)</f>
        <v>0</v>
      </c>
      <c r="L36" s="261">
        <f>ROUND(L35-L5,0)</f>
        <v>0</v>
      </c>
      <c r="M36" s="262">
        <f>ROUND(M35-M5,0)</f>
        <v>0</v>
      </c>
      <c r="N36" s="236"/>
      <c r="O36" s="237"/>
      <c r="P36" s="230"/>
      <c r="Q36" s="230"/>
      <c r="R36" s="230"/>
      <c r="S36" s="230"/>
      <c r="T36" s="230"/>
      <c r="U36" s="230"/>
      <c r="V36" s="230"/>
      <c r="W36" s="230"/>
      <c r="X36" s="230"/>
      <c r="Y36" s="230"/>
      <c r="Z36" s="230"/>
      <c r="AA36" s="230"/>
      <c r="AB36" s="230"/>
      <c r="AC36" s="230"/>
      <c r="AD36" s="230"/>
      <c r="AE36" s="230"/>
      <c r="AF36" s="230"/>
      <c r="AG36" s="230"/>
      <c r="AH36" s="230"/>
      <c r="AI36" s="230"/>
    </row>
    <row r="37" spans="1:35" ht="14.25" customHeight="1" x14ac:dyDescent="0.3">
      <c r="B37" s="148"/>
      <c r="C37" s="148"/>
      <c r="D37" s="208"/>
      <c r="E37" s="264"/>
      <c r="F37" s="264"/>
      <c r="G37" s="264"/>
      <c r="H37" s="265"/>
      <c r="I37" s="266"/>
      <c r="J37" s="223"/>
      <c r="K37" s="223"/>
      <c r="L37" s="223"/>
      <c r="M37" s="267"/>
      <c r="N37" s="223"/>
      <c r="O37" s="229"/>
    </row>
    <row r="38" spans="1:35" ht="14.25" customHeight="1" x14ac:dyDescent="0.3">
      <c r="B38" s="201" t="s">
        <v>330</v>
      </c>
      <c r="C38" s="148"/>
      <c r="D38" s="268"/>
      <c r="E38" s="226">
        <f t="shared" ref="E38:M38" si="9">E30</f>
        <v>63.19</v>
      </c>
      <c r="F38" s="226">
        <f t="shared" si="9"/>
        <v>56.97</v>
      </c>
      <c r="G38" s="226">
        <f t="shared" si="9"/>
        <v>63.82</v>
      </c>
      <c r="H38" s="227">
        <f t="shared" si="9"/>
        <v>84.28</v>
      </c>
      <c r="I38" s="228">
        <f t="shared" si="9"/>
        <v>72.633677305651588</v>
      </c>
      <c r="J38" s="226">
        <f t="shared" si="9"/>
        <v>76.923083473807395</v>
      </c>
      <c r="K38" s="226">
        <f t="shared" si="9"/>
        <v>81.50870351301225</v>
      </c>
      <c r="L38" s="226">
        <f t="shared" si="9"/>
        <v>79.913578082807305</v>
      </c>
      <c r="M38" s="227">
        <f t="shared" si="9"/>
        <v>81.678966501575914</v>
      </c>
      <c r="N38" s="223"/>
      <c r="O38" s="229"/>
    </row>
    <row r="39" spans="1:35" ht="14.25" customHeight="1" x14ac:dyDescent="0.3">
      <c r="B39" s="269"/>
      <c r="C39" s="269"/>
      <c r="D39" s="270"/>
      <c r="E39" s="271"/>
      <c r="F39" s="271"/>
      <c r="G39" s="271"/>
      <c r="H39" s="272"/>
      <c r="I39" s="273"/>
      <c r="J39" s="274"/>
      <c r="K39" s="274"/>
      <c r="L39" s="274"/>
      <c r="M39" s="275"/>
      <c r="O39" s="269"/>
    </row>
    <row r="40" spans="1:35" ht="14.25" customHeight="1" x14ac:dyDescent="0.3">
      <c r="A40" s="178"/>
      <c r="B40" s="179" t="s">
        <v>337</v>
      </c>
      <c r="C40" s="180"/>
      <c r="D40" s="276"/>
      <c r="E40" s="182"/>
      <c r="F40" s="182"/>
      <c r="G40" s="182"/>
      <c r="H40" s="183"/>
      <c r="I40" s="181"/>
      <c r="J40" s="182"/>
      <c r="K40" s="182"/>
      <c r="L40" s="182"/>
      <c r="M40" s="183"/>
      <c r="O40" s="184"/>
    </row>
    <row r="41" spans="1:35" ht="14.25" customHeight="1" x14ac:dyDescent="0.3">
      <c r="B41" s="277"/>
      <c r="C41" s="225"/>
      <c r="D41" s="268"/>
      <c r="H41" s="104"/>
      <c r="I41" s="103"/>
      <c r="M41" s="104"/>
      <c r="O41" s="148"/>
    </row>
    <row r="42" spans="1:35" ht="14.25" customHeight="1" x14ac:dyDescent="0.3">
      <c r="B42" s="201" t="s">
        <v>338</v>
      </c>
      <c r="C42" s="148"/>
      <c r="D42" s="268"/>
      <c r="E42" s="239">
        <f>'BALANCE SHEET'!C61+'BALANCE SHEET'!C48</f>
        <v>0</v>
      </c>
      <c r="F42" s="239">
        <f t="shared" ref="F42:M42" si="10">E47</f>
        <v>11.64</v>
      </c>
      <c r="G42" s="239">
        <f t="shared" si="10"/>
        <v>6.0400000000000009</v>
      </c>
      <c r="H42" s="240">
        <f t="shared" si="10"/>
        <v>16.550000000000004</v>
      </c>
      <c r="I42" s="238">
        <f t="shared" si="10"/>
        <v>20.330000000000002</v>
      </c>
      <c r="J42" s="239">
        <f t="shared" si="10"/>
        <v>26.330000000000002</v>
      </c>
      <c r="K42" s="239">
        <f t="shared" si="10"/>
        <v>32.33</v>
      </c>
      <c r="L42" s="239">
        <f t="shared" si="10"/>
        <v>38.33</v>
      </c>
      <c r="M42" s="240">
        <f t="shared" si="10"/>
        <v>44.33</v>
      </c>
      <c r="O42" s="148"/>
    </row>
    <row r="43" spans="1:35" ht="54.75" customHeight="1" x14ac:dyDescent="0.3">
      <c r="B43" s="201" t="s">
        <v>339</v>
      </c>
      <c r="C43" s="278" t="s">
        <v>340</v>
      </c>
      <c r="D43" s="268"/>
      <c r="E43" s="239">
        <v>13.06</v>
      </c>
      <c r="F43" s="239">
        <v>0</v>
      </c>
      <c r="G43" s="239">
        <v>16.27</v>
      </c>
      <c r="H43" s="240">
        <v>3.83</v>
      </c>
      <c r="I43" s="238">
        <v>7</v>
      </c>
      <c r="J43" s="239">
        <v>7</v>
      </c>
      <c r="K43" s="239">
        <v>7</v>
      </c>
      <c r="L43" s="239">
        <v>7</v>
      </c>
      <c r="M43" s="240">
        <v>7</v>
      </c>
      <c r="O43" s="222" t="s">
        <v>341</v>
      </c>
    </row>
    <row r="44" spans="1:35" ht="54.75" customHeight="1" x14ac:dyDescent="0.3">
      <c r="B44" s="201" t="s">
        <v>342</v>
      </c>
      <c r="C44" s="278" t="s">
        <v>343</v>
      </c>
      <c r="D44" s="268"/>
      <c r="E44" s="239">
        <f>'INCOME STATEMENT'!D38</f>
        <v>3.1</v>
      </c>
      <c r="F44" s="239">
        <f>'INCOME STATEMENT'!E38</f>
        <v>1.55</v>
      </c>
      <c r="G44" s="239">
        <f>'INCOME STATEMENT'!F38</f>
        <v>0.75</v>
      </c>
      <c r="H44" s="240">
        <f>'INCOME STATEMENT'!G38</f>
        <v>7.0000000000000007E-2</v>
      </c>
      <c r="I44" s="238">
        <v>1</v>
      </c>
      <c r="J44" s="239">
        <v>1</v>
      </c>
      <c r="K44" s="239">
        <v>1</v>
      </c>
      <c r="L44" s="239">
        <v>1</v>
      </c>
      <c r="M44" s="240">
        <v>1</v>
      </c>
      <c r="O44" s="222" t="s">
        <v>344</v>
      </c>
    </row>
    <row r="45" spans="1:35" ht="41.25" customHeight="1" x14ac:dyDescent="0.3">
      <c r="B45" s="201" t="s">
        <v>345</v>
      </c>
      <c r="C45" s="278" t="s">
        <v>346</v>
      </c>
      <c r="D45" s="268"/>
      <c r="E45" s="239">
        <f>'CASH FLOW STATEMENT '!D41</f>
        <v>-4.5199999999999996</v>
      </c>
      <c r="F45" s="239">
        <f>'CASH FLOW STATEMENT '!E41</f>
        <v>-5.88</v>
      </c>
      <c r="G45" s="239">
        <f>'CASH FLOW STATEMENT '!F41</f>
        <v>-6.51</v>
      </c>
      <c r="H45" s="240">
        <f>'CASH FLOW STATEMENT '!G41</f>
        <v>-0.12</v>
      </c>
      <c r="I45" s="238">
        <v>-2</v>
      </c>
      <c r="J45" s="239">
        <v>-2</v>
      </c>
      <c r="K45" s="239">
        <v>-2</v>
      </c>
      <c r="L45" s="239">
        <v>-2</v>
      </c>
      <c r="M45" s="240">
        <v>-2</v>
      </c>
      <c r="O45" s="222" t="s">
        <v>347</v>
      </c>
    </row>
    <row r="46" spans="1:35" ht="14.25" customHeight="1" x14ac:dyDescent="0.3">
      <c r="B46" s="201" t="s">
        <v>348</v>
      </c>
      <c r="C46" s="148"/>
      <c r="D46" s="268"/>
      <c r="E46" s="239">
        <v>0</v>
      </c>
      <c r="F46" s="239">
        <v>-1.27</v>
      </c>
      <c r="G46" s="239">
        <v>0</v>
      </c>
      <c r="H46" s="240">
        <v>0</v>
      </c>
      <c r="I46" s="238">
        <v>0</v>
      </c>
      <c r="J46" s="239">
        <v>0</v>
      </c>
      <c r="K46" s="239">
        <v>0</v>
      </c>
      <c r="L46" s="239">
        <v>0</v>
      </c>
      <c r="M46" s="240">
        <v>0</v>
      </c>
      <c r="O46" s="222" t="s">
        <v>349</v>
      </c>
    </row>
    <row r="47" spans="1:35" ht="14.25" customHeight="1" x14ac:dyDescent="0.3">
      <c r="A47" s="223"/>
      <c r="B47" s="224" t="s">
        <v>350</v>
      </c>
      <c r="C47" s="225"/>
      <c r="D47" s="268"/>
      <c r="E47" s="279">
        <f t="shared" ref="E47:M47" si="11">SUM(E42:E46)</f>
        <v>11.64</v>
      </c>
      <c r="F47" s="279">
        <f t="shared" si="11"/>
        <v>6.0400000000000009</v>
      </c>
      <c r="G47" s="279">
        <f t="shared" si="11"/>
        <v>16.550000000000004</v>
      </c>
      <c r="H47" s="280">
        <f t="shared" si="11"/>
        <v>20.330000000000002</v>
      </c>
      <c r="I47" s="281">
        <f t="shared" si="11"/>
        <v>26.330000000000002</v>
      </c>
      <c r="J47" s="279">
        <f t="shared" si="11"/>
        <v>32.33</v>
      </c>
      <c r="K47" s="279">
        <f t="shared" si="11"/>
        <v>38.33</v>
      </c>
      <c r="L47" s="279">
        <f t="shared" si="11"/>
        <v>44.33</v>
      </c>
      <c r="M47" s="280">
        <f t="shared" si="11"/>
        <v>50.33</v>
      </c>
      <c r="N47" s="282"/>
      <c r="O47" s="229"/>
      <c r="P47" s="223"/>
      <c r="Q47" s="223"/>
      <c r="R47" s="223"/>
      <c r="S47" s="223"/>
      <c r="T47" s="223"/>
      <c r="U47" s="223"/>
      <c r="V47" s="223"/>
      <c r="W47" s="223"/>
      <c r="X47" s="223"/>
      <c r="Y47" s="223"/>
      <c r="Z47" s="223"/>
      <c r="AA47" s="223"/>
      <c r="AB47" s="223"/>
      <c r="AC47" s="223"/>
      <c r="AD47" s="223"/>
      <c r="AE47" s="223"/>
      <c r="AF47" s="223"/>
      <c r="AG47" s="223"/>
      <c r="AH47" s="223"/>
      <c r="AI47" s="223"/>
    </row>
    <row r="48" spans="1:35" ht="14.25" customHeight="1" x14ac:dyDescent="0.3">
      <c r="B48" s="148"/>
      <c r="C48" s="148"/>
      <c r="D48" s="268"/>
      <c r="H48" s="104"/>
      <c r="I48" s="103"/>
      <c r="M48" s="104"/>
      <c r="O48" s="148"/>
    </row>
    <row r="49" spans="1:35" ht="14.25" customHeight="1" x14ac:dyDescent="0.3">
      <c r="B49" s="201" t="s">
        <v>351</v>
      </c>
      <c r="C49" s="148"/>
      <c r="D49" s="268"/>
      <c r="E49" s="239">
        <f>'BALANCE SHEET'!D48</f>
        <v>4.74</v>
      </c>
      <c r="F49" s="239">
        <f>'BALANCE SHEET'!E48</f>
        <v>0.31</v>
      </c>
      <c r="G49" s="239">
        <f>'BALANCE SHEET'!F48</f>
        <v>16.43</v>
      </c>
      <c r="H49" s="240">
        <f>'BALANCE SHEET'!G48</f>
        <v>20.03</v>
      </c>
      <c r="I49" s="238">
        <f>I47-I50</f>
        <v>25.93505</v>
      </c>
      <c r="J49" s="239">
        <f>J47-J50</f>
        <v>31.845049999999997</v>
      </c>
      <c r="K49" s="239">
        <f>K47-K50</f>
        <v>37.755049999999997</v>
      </c>
      <c r="L49" s="239">
        <f>L47-L50</f>
        <v>43.665050000000001</v>
      </c>
      <c r="M49" s="240">
        <f>M47-M50</f>
        <v>49.575049999999997</v>
      </c>
      <c r="O49" s="148"/>
    </row>
    <row r="50" spans="1:35" ht="41.25" customHeight="1" x14ac:dyDescent="0.3">
      <c r="B50" s="201" t="s">
        <v>352</v>
      </c>
      <c r="C50" s="278" t="s">
        <v>353</v>
      </c>
      <c r="D50" s="268"/>
      <c r="E50" s="239">
        <f>'BALANCE SHEET'!D61</f>
        <v>6.9</v>
      </c>
      <c r="F50" s="239">
        <f>'BALANCE SHEET'!E61</f>
        <v>5.73</v>
      </c>
      <c r="G50" s="239">
        <f>'BALANCE SHEET'!F61</f>
        <v>0.12</v>
      </c>
      <c r="H50" s="240">
        <f>'BALANCE SHEET'!G61</f>
        <v>0.3</v>
      </c>
      <c r="I50" s="238">
        <f>I47*0.015</f>
        <v>0.39495000000000002</v>
      </c>
      <c r="J50" s="239">
        <f>J47*0.015</f>
        <v>0.48494999999999994</v>
      </c>
      <c r="K50" s="239">
        <f>K47*0.015</f>
        <v>0.57494999999999996</v>
      </c>
      <c r="L50" s="239">
        <f>L47*0.015</f>
        <v>0.66494999999999993</v>
      </c>
      <c r="M50" s="240">
        <f>M47*0.015</f>
        <v>0.7549499999999999</v>
      </c>
      <c r="O50" s="222" t="s">
        <v>354</v>
      </c>
    </row>
    <row r="51" spans="1:35" s="223" customFormat="1" ht="14.25" customHeight="1" x14ac:dyDescent="0.3">
      <c r="A51" s="230"/>
      <c r="B51" s="231" t="s">
        <v>237</v>
      </c>
      <c r="C51" s="232"/>
      <c r="D51" s="268"/>
      <c r="E51" s="261">
        <f t="shared" ref="E51:M51" si="12">ROUND(E47-E49-E50,0)</f>
        <v>0</v>
      </c>
      <c r="F51" s="261">
        <f t="shared" si="12"/>
        <v>0</v>
      </c>
      <c r="G51" s="261">
        <f t="shared" si="12"/>
        <v>0</v>
      </c>
      <c r="H51" s="262">
        <f t="shared" si="12"/>
        <v>0</v>
      </c>
      <c r="I51" s="263">
        <f t="shared" si="12"/>
        <v>0</v>
      </c>
      <c r="J51" s="261">
        <f t="shared" si="12"/>
        <v>0</v>
      </c>
      <c r="K51" s="261">
        <f t="shared" si="12"/>
        <v>0</v>
      </c>
      <c r="L51" s="261">
        <f t="shared" si="12"/>
        <v>0</v>
      </c>
      <c r="M51" s="262">
        <f t="shared" si="12"/>
        <v>0</v>
      </c>
      <c r="N51" s="236"/>
      <c r="O51" s="237"/>
      <c r="P51" s="230"/>
      <c r="Q51" s="230"/>
      <c r="R51" s="230"/>
      <c r="S51" s="230"/>
      <c r="T51" s="230"/>
      <c r="U51" s="230"/>
      <c r="V51" s="230"/>
      <c r="W51" s="230"/>
      <c r="X51" s="230"/>
      <c r="Y51" s="230"/>
      <c r="Z51" s="230"/>
      <c r="AA51" s="230"/>
      <c r="AB51" s="230"/>
      <c r="AC51" s="230"/>
      <c r="AD51" s="230"/>
      <c r="AE51" s="230"/>
      <c r="AF51" s="230"/>
      <c r="AG51" s="230"/>
      <c r="AH51" s="230"/>
      <c r="AI51" s="230"/>
    </row>
    <row r="52" spans="1:35" ht="14.25" customHeight="1" x14ac:dyDescent="0.3">
      <c r="B52" s="148"/>
      <c r="C52" s="148"/>
      <c r="D52" s="268"/>
      <c r="H52" s="104"/>
      <c r="I52" s="103"/>
      <c r="M52" s="104"/>
      <c r="O52" s="148"/>
    </row>
    <row r="53" spans="1:35" ht="14.25" customHeight="1" x14ac:dyDescent="0.3">
      <c r="B53" s="201" t="s">
        <v>355</v>
      </c>
      <c r="C53" s="148"/>
      <c r="D53" s="268"/>
      <c r="E53" s="239">
        <v>52.08</v>
      </c>
      <c r="F53" s="239">
        <f>'BALANCE SHEET'!D6</f>
        <v>243.02</v>
      </c>
      <c r="G53" s="239">
        <f>'BALANCE SHEET'!E6</f>
        <v>229.34</v>
      </c>
      <c r="H53" s="240">
        <f>'BALANCE SHEET'!F6</f>
        <v>39.35</v>
      </c>
      <c r="I53" s="238">
        <f>H57</f>
        <v>670.38</v>
      </c>
      <c r="J53" s="239">
        <f>I57</f>
        <v>654.79</v>
      </c>
      <c r="K53" s="239">
        <f>J57</f>
        <v>639.19999999999993</v>
      </c>
      <c r="L53" s="239">
        <f>K57</f>
        <v>623.6099999999999</v>
      </c>
      <c r="M53" s="240">
        <f>L57</f>
        <v>608.01999999999987</v>
      </c>
      <c r="O53" s="148"/>
    </row>
    <row r="54" spans="1:35" ht="68.25" customHeight="1" x14ac:dyDescent="0.3">
      <c r="B54" s="201" t="s">
        <v>356</v>
      </c>
      <c r="C54" s="278" t="s">
        <v>357</v>
      </c>
      <c r="D54" s="268"/>
      <c r="E54" s="239">
        <v>196.44</v>
      </c>
      <c r="F54" s="239">
        <v>0.53</v>
      </c>
      <c r="G54" s="239">
        <v>0.57999999999999996</v>
      </c>
      <c r="H54" s="240">
        <v>655</v>
      </c>
      <c r="I54" s="238">
        <f>I43</f>
        <v>7</v>
      </c>
      <c r="J54" s="239">
        <f>J43</f>
        <v>7</v>
      </c>
      <c r="K54" s="239">
        <f>K43</f>
        <v>7</v>
      </c>
      <c r="L54" s="239">
        <f>L43</f>
        <v>7</v>
      </c>
      <c r="M54" s="240">
        <f>M43</f>
        <v>7</v>
      </c>
      <c r="O54" s="222" t="s">
        <v>358</v>
      </c>
    </row>
    <row r="55" spans="1:35" ht="41.25" customHeight="1" x14ac:dyDescent="0.3">
      <c r="B55" s="201" t="s">
        <v>359</v>
      </c>
      <c r="C55" s="278" t="s">
        <v>360</v>
      </c>
      <c r="D55" s="268"/>
      <c r="E55" s="239">
        <f>-'INCOME STATEMENT'!D32</f>
        <v>-5.5</v>
      </c>
      <c r="F55" s="239">
        <f>-'INCOME STATEMENT'!E32</f>
        <v>-14.21</v>
      </c>
      <c r="G55" s="239">
        <f>-'INCOME STATEMENT'!F32</f>
        <v>-13.94</v>
      </c>
      <c r="H55" s="240">
        <f>-'INCOME STATEMENT'!G32</f>
        <v>-23.97</v>
      </c>
      <c r="I55" s="238">
        <v>-22.59</v>
      </c>
      <c r="J55" s="239">
        <v>-22.59</v>
      </c>
      <c r="K55" s="239">
        <v>-22.59</v>
      </c>
      <c r="L55" s="239">
        <v>-22.59</v>
      </c>
      <c r="M55" s="240">
        <v>-22.59</v>
      </c>
      <c r="O55" s="283" t="s">
        <v>361</v>
      </c>
    </row>
    <row r="56" spans="1:35" ht="14.25" customHeight="1" x14ac:dyDescent="0.3">
      <c r="B56" s="201" t="s">
        <v>348</v>
      </c>
      <c r="C56" s="148"/>
      <c r="D56" s="268"/>
      <c r="E56" s="239">
        <v>0</v>
      </c>
      <c r="F56" s="239">
        <v>0</v>
      </c>
      <c r="G56" s="239">
        <v>-176.63</v>
      </c>
      <c r="H56" s="240">
        <v>0</v>
      </c>
      <c r="I56" s="238">
        <v>0</v>
      </c>
      <c r="J56" s="239">
        <v>0</v>
      </c>
      <c r="K56" s="239">
        <v>0</v>
      </c>
      <c r="L56" s="239">
        <v>0</v>
      </c>
      <c r="M56" s="240">
        <v>0</v>
      </c>
      <c r="O56" s="222" t="s">
        <v>362</v>
      </c>
    </row>
    <row r="57" spans="1:35" ht="14.25" customHeight="1" x14ac:dyDescent="0.3">
      <c r="A57" s="223"/>
      <c r="B57" s="224" t="s">
        <v>363</v>
      </c>
      <c r="C57" s="225"/>
      <c r="D57" s="268"/>
      <c r="E57" s="279">
        <f t="shared" ref="E57:M57" si="13">SUM(E53:E56)</f>
        <v>243.01999999999998</v>
      </c>
      <c r="F57" s="279">
        <f t="shared" si="13"/>
        <v>229.34</v>
      </c>
      <c r="G57" s="279">
        <f t="shared" si="13"/>
        <v>39.350000000000023</v>
      </c>
      <c r="H57" s="280">
        <f t="shared" si="13"/>
        <v>670.38</v>
      </c>
      <c r="I57" s="281">
        <f t="shared" si="13"/>
        <v>654.79</v>
      </c>
      <c r="J57" s="279">
        <f t="shared" si="13"/>
        <v>639.19999999999993</v>
      </c>
      <c r="K57" s="279">
        <f t="shared" si="13"/>
        <v>623.6099999999999</v>
      </c>
      <c r="L57" s="279">
        <f t="shared" si="13"/>
        <v>608.01999999999987</v>
      </c>
      <c r="M57" s="280">
        <f t="shared" si="13"/>
        <v>592.42999999999984</v>
      </c>
      <c r="N57" s="223"/>
      <c r="O57" s="229"/>
    </row>
    <row r="58" spans="1:35" s="223" customFormat="1" ht="14.25" customHeight="1" x14ac:dyDescent="0.3">
      <c r="A58" s="230"/>
      <c r="B58" s="231" t="s">
        <v>237</v>
      </c>
      <c r="C58" s="232"/>
      <c r="D58" s="268"/>
      <c r="E58" s="284">
        <f>E57-'BALANCE SHEET'!D6</f>
        <v>0</v>
      </c>
      <c r="F58" s="284">
        <f>F57-'BALANCE SHEET'!E6</f>
        <v>0</v>
      </c>
      <c r="G58" s="284">
        <f>G57-'BALANCE SHEET'!F6</f>
        <v>0</v>
      </c>
      <c r="H58" s="285">
        <f>H57-'BALANCE SHEET'!G6</f>
        <v>0</v>
      </c>
      <c r="I58" s="286">
        <f>I57-'BALANCE SHEET'!H6</f>
        <v>0</v>
      </c>
      <c r="J58" s="284">
        <f>J57-'BALANCE SHEET'!I6</f>
        <v>0</v>
      </c>
      <c r="K58" s="284">
        <f>K57-'BALANCE SHEET'!J6</f>
        <v>0</v>
      </c>
      <c r="L58" s="284">
        <f>L57-'BALANCE SHEET'!K6</f>
        <v>0</v>
      </c>
      <c r="M58" s="285">
        <f>M57-'BALANCE SHEET'!L6</f>
        <v>0</v>
      </c>
      <c r="N58" s="236"/>
      <c r="O58" s="237"/>
      <c r="P58" s="230"/>
      <c r="Q58" s="230"/>
      <c r="R58" s="230"/>
      <c r="S58" s="230"/>
      <c r="T58" s="230"/>
      <c r="U58" s="230"/>
      <c r="V58" s="230"/>
      <c r="W58" s="230"/>
      <c r="X58" s="230"/>
      <c r="Y58" s="230"/>
      <c r="Z58" s="230"/>
      <c r="AA58" s="230"/>
      <c r="AB58" s="230"/>
      <c r="AC58" s="230"/>
      <c r="AD58" s="230"/>
      <c r="AE58" s="230"/>
      <c r="AF58" s="230"/>
      <c r="AG58" s="230"/>
      <c r="AH58" s="230"/>
      <c r="AI58" s="230"/>
    </row>
    <row r="59" spans="1:35" ht="14.25" customHeight="1" x14ac:dyDescent="0.3">
      <c r="B59" s="269"/>
      <c r="C59" s="269"/>
      <c r="D59" s="270"/>
      <c r="E59" s="274"/>
      <c r="F59" s="274"/>
      <c r="G59" s="274"/>
      <c r="H59" s="275"/>
      <c r="I59" s="273"/>
      <c r="J59" s="274"/>
      <c r="K59" s="274"/>
      <c r="L59" s="274"/>
      <c r="M59" s="275"/>
      <c r="O59" s="269"/>
    </row>
    <row r="60" spans="1:35" ht="14.25" customHeight="1" x14ac:dyDescent="0.3">
      <c r="A60" s="178"/>
      <c r="B60" s="179" t="s">
        <v>364</v>
      </c>
      <c r="C60" s="180"/>
      <c r="D60" s="276"/>
      <c r="E60" s="182"/>
      <c r="F60" s="182"/>
      <c r="G60" s="182"/>
      <c r="H60" s="183"/>
      <c r="I60" s="181"/>
      <c r="J60" s="182"/>
      <c r="K60" s="182"/>
      <c r="L60" s="182"/>
      <c r="M60" s="183"/>
      <c r="O60" s="184"/>
    </row>
    <row r="61" spans="1:35" ht="14.25" customHeight="1" x14ac:dyDescent="0.3">
      <c r="B61" s="277"/>
      <c r="C61" s="225"/>
      <c r="D61" s="268"/>
      <c r="H61" s="104"/>
      <c r="I61" s="103"/>
      <c r="M61" s="104"/>
      <c r="O61" s="148"/>
    </row>
    <row r="62" spans="1:35" ht="14.25" customHeight="1" x14ac:dyDescent="0.3">
      <c r="B62" s="201" t="s">
        <v>365</v>
      </c>
      <c r="C62" s="148"/>
      <c r="D62" s="268"/>
      <c r="E62" s="239">
        <f>'INCOME STATEMENT'!D9</f>
        <v>5733.2800000000007</v>
      </c>
      <c r="F62" s="239">
        <f>'INCOME STATEMENT'!E9</f>
        <v>7827.18</v>
      </c>
      <c r="G62" s="239">
        <f>'INCOME STATEMENT'!F9</f>
        <v>9466.58</v>
      </c>
      <c r="H62" s="240">
        <f>'INCOME STATEMENT'!G9</f>
        <v>11431.880000000001</v>
      </c>
      <c r="I62" s="238">
        <f>'INCOME STATEMENT'!H9</f>
        <v>12684.693629788282</v>
      </c>
      <c r="J62" s="239">
        <f>'INCOME STATEMENT'!I9</f>
        <v>13608.074271642014</v>
      </c>
      <c r="K62" s="239">
        <f>'INCOME STATEMENT'!J9</f>
        <v>14750.650624343372</v>
      </c>
      <c r="L62" s="239">
        <f>'INCOME STATEMENT'!K9</f>
        <v>16691.572009586773</v>
      </c>
      <c r="M62" s="240">
        <f>'INCOME STATEMENT'!L9</f>
        <v>19187.755861462996</v>
      </c>
      <c r="O62" s="148"/>
    </row>
    <row r="63" spans="1:35" ht="14.25" customHeight="1" x14ac:dyDescent="0.3">
      <c r="B63" s="201" t="s">
        <v>366</v>
      </c>
      <c r="C63" s="148"/>
      <c r="D63" s="268"/>
      <c r="E63" s="239">
        <f>'INCOME STATEMENT'!D12+'INCOME STATEMENT'!D13</f>
        <v>4036.07</v>
      </c>
      <c r="F63" s="239">
        <f>'INCOME STATEMENT'!E12+'INCOME STATEMENT'!E13</f>
        <v>5594.1500000000005</v>
      </c>
      <c r="G63" s="239">
        <f>'INCOME STATEMENT'!F12+'INCOME STATEMENT'!F13</f>
        <v>6609.91</v>
      </c>
      <c r="H63" s="240">
        <f>'INCOME STATEMENT'!G12+'INCOME STATEMENT'!G13</f>
        <v>7003.3200000000006</v>
      </c>
      <c r="I63" s="238">
        <f>'INCOME STATEMENT'!H12+'INCOME STATEMENT'!H13</f>
        <v>8634.966353347716</v>
      </c>
      <c r="J63" s="239">
        <f>'INCOME STATEMENT'!I12+'INCOME STATEMENT'!I13</f>
        <v>9146.7467238591562</v>
      </c>
      <c r="K63" s="239">
        <f>'INCOME STATEMENT'!J12+'INCOME STATEMENT'!J13</f>
        <v>9781.4599629687364</v>
      </c>
      <c r="L63" s="239">
        <f>'INCOME STATEMENT'!K12+'INCOME STATEMENT'!K13</f>
        <v>11330.25104637205</v>
      </c>
      <c r="M63" s="240">
        <f>'INCOME STATEMENT'!L12+'INCOME STATEMENT'!L13</f>
        <v>12992.101900002646</v>
      </c>
      <c r="O63" s="148"/>
    </row>
    <row r="64" spans="1:35" ht="14.25" customHeight="1" x14ac:dyDescent="0.3">
      <c r="B64" s="201" t="s">
        <v>367</v>
      </c>
      <c r="C64" s="148"/>
      <c r="D64" s="268"/>
      <c r="E64" s="239">
        <f>'INCOME STATEMENT'!D12</f>
        <v>3122.42</v>
      </c>
      <c r="F64" s="239">
        <f>'INCOME STATEMENT'!E12</f>
        <v>4900.93</v>
      </c>
      <c r="G64" s="239">
        <f>'INCOME STATEMENT'!F12</f>
        <v>5464.08</v>
      </c>
      <c r="H64" s="240">
        <f>'INCOME STATEMENT'!G12</f>
        <v>5851.68</v>
      </c>
      <c r="I64" s="238">
        <f>'INCOME STATEMENT'!H12</f>
        <v>7334.0337551229959</v>
      </c>
      <c r="J64" s="239">
        <f>'INCOME STATEMENT'!I12</f>
        <v>7507.3781339625775</v>
      </c>
      <c r="K64" s="239">
        <f>'INCOME STATEMENT'!J12</f>
        <v>7926.7985731130866</v>
      </c>
      <c r="L64" s="239">
        <f>'INCOME STATEMENT'!K12</f>
        <v>9153.6751969853412</v>
      </c>
      <c r="M64" s="240">
        <f>'INCOME STATEMENT'!L12</f>
        <v>10405.770540036434</v>
      </c>
      <c r="O64" s="148"/>
    </row>
    <row r="65" spans="1:35" ht="14.25" customHeight="1" x14ac:dyDescent="0.3">
      <c r="B65" s="148"/>
      <c r="C65" s="148"/>
      <c r="D65" s="268"/>
      <c r="E65" s="257"/>
      <c r="F65" s="257"/>
      <c r="G65" s="257"/>
      <c r="H65" s="287"/>
      <c r="I65" s="288"/>
      <c r="J65" s="257"/>
      <c r="K65" s="257"/>
      <c r="L65" s="257"/>
      <c r="M65" s="287"/>
      <c r="O65" s="148"/>
    </row>
    <row r="66" spans="1:35" ht="14.25" customHeight="1" x14ac:dyDescent="0.3">
      <c r="B66" s="224" t="s">
        <v>368</v>
      </c>
      <c r="C66" s="225"/>
      <c r="D66" s="268"/>
      <c r="E66" s="257"/>
      <c r="F66" s="257"/>
      <c r="G66" s="257"/>
      <c r="H66" s="287"/>
      <c r="I66" s="288"/>
      <c r="J66" s="257"/>
      <c r="K66" s="257"/>
      <c r="L66" s="257"/>
      <c r="M66" s="287"/>
      <c r="O66" s="148"/>
    </row>
    <row r="67" spans="1:35" ht="14.25" customHeight="1" x14ac:dyDescent="0.3">
      <c r="B67" s="201" t="s">
        <v>369</v>
      </c>
      <c r="C67" s="148"/>
      <c r="D67" s="268"/>
      <c r="E67" s="239">
        <f>'BALANCE SHEET'!D28</f>
        <v>1005.41</v>
      </c>
      <c r="F67" s="239">
        <f>'BALANCE SHEET'!E28</f>
        <v>1002.33</v>
      </c>
      <c r="G67" s="239">
        <f>'BALANCE SHEET'!F28</f>
        <v>1846.93</v>
      </c>
      <c r="H67" s="240">
        <f>'BALANCE SHEET'!G28</f>
        <v>1067.21</v>
      </c>
      <c r="I67" s="238">
        <f>I70*I62/365</f>
        <v>1785.2823568260719</v>
      </c>
      <c r="J67" s="239">
        <f>J70*J62/365</f>
        <v>1962.3402335636754</v>
      </c>
      <c r="K67" s="239">
        <f>K70*K62/365</f>
        <v>1867.6877775677501</v>
      </c>
      <c r="L67" s="239">
        <f>L70*L62/365</f>
        <v>2289.8861246712468</v>
      </c>
      <c r="M67" s="240">
        <f>M70*M62/365</f>
        <v>2609.5963031161127</v>
      </c>
      <c r="O67" s="148"/>
    </row>
    <row r="68" spans="1:35" ht="14.25" customHeight="1" x14ac:dyDescent="0.3">
      <c r="B68" s="201" t="s">
        <v>370</v>
      </c>
      <c r="C68" s="148"/>
      <c r="D68" s="268"/>
      <c r="E68" s="239">
        <f>'BALANCE SHEET'!D13</f>
        <v>17.73</v>
      </c>
      <c r="F68" s="239">
        <f>'BALANCE SHEET'!E13</f>
        <v>18.02</v>
      </c>
      <c r="G68" s="239">
        <f>'BALANCE SHEET'!F13</f>
        <v>17.649999999999999</v>
      </c>
      <c r="H68" s="240">
        <f>'BALANCE SHEET'!G13</f>
        <v>17.73</v>
      </c>
      <c r="I68" s="238">
        <f>'BALANCE SHEET'!H13</f>
        <v>17.73</v>
      </c>
      <c r="J68" s="239">
        <f>'BALANCE SHEET'!I13</f>
        <v>17.73</v>
      </c>
      <c r="K68" s="239">
        <f>'BALANCE SHEET'!J13</f>
        <v>17.73</v>
      </c>
      <c r="L68" s="239">
        <f>'BALANCE SHEET'!K13</f>
        <v>17.73</v>
      </c>
      <c r="M68" s="240">
        <f>'BALANCE SHEET'!L13</f>
        <v>17.73</v>
      </c>
      <c r="O68" s="148"/>
    </row>
    <row r="69" spans="1:35" s="223" customFormat="1" ht="14.25" customHeight="1" x14ac:dyDescent="0.3">
      <c r="B69" s="224" t="s">
        <v>371</v>
      </c>
      <c r="C69" s="225"/>
      <c r="D69" s="268"/>
      <c r="E69" s="279">
        <f t="shared" ref="E69:M69" si="14">SUM(E67:E68)</f>
        <v>1023.14</v>
      </c>
      <c r="F69" s="279">
        <f t="shared" si="14"/>
        <v>1020.35</v>
      </c>
      <c r="G69" s="279">
        <f t="shared" si="14"/>
        <v>1864.5800000000002</v>
      </c>
      <c r="H69" s="280">
        <f t="shared" si="14"/>
        <v>1084.94</v>
      </c>
      <c r="I69" s="281">
        <f t="shared" si="14"/>
        <v>1803.0123568260719</v>
      </c>
      <c r="J69" s="279">
        <f t="shared" si="14"/>
        <v>1980.0702335636754</v>
      </c>
      <c r="K69" s="279">
        <f t="shared" si="14"/>
        <v>1885.4177775677501</v>
      </c>
      <c r="L69" s="279">
        <f t="shared" si="14"/>
        <v>2307.6161246712468</v>
      </c>
      <c r="M69" s="280">
        <f t="shared" si="14"/>
        <v>2627.3263031161127</v>
      </c>
      <c r="O69" s="229"/>
    </row>
    <row r="70" spans="1:35" ht="14.25" customHeight="1" x14ac:dyDescent="0.3">
      <c r="A70" s="289"/>
      <c r="B70" s="193" t="s">
        <v>372</v>
      </c>
      <c r="C70" s="290" t="s">
        <v>373</v>
      </c>
      <c r="D70" s="268"/>
      <c r="E70" s="291">
        <f>365*E69/E62</f>
        <v>65.136553595847388</v>
      </c>
      <c r="F70" s="291">
        <f>365*F69/F62</f>
        <v>47.581344749961033</v>
      </c>
      <c r="G70" s="291">
        <f>365*G69/G62</f>
        <v>71.892034927080331</v>
      </c>
      <c r="H70" s="292">
        <f>365*H69/H62</f>
        <v>34.640242899680544</v>
      </c>
      <c r="I70" s="293">
        <f>ROUNDUP(AVERAGE(F70:H70),5)</f>
        <v>51.371210000000005</v>
      </c>
      <c r="J70" s="291">
        <f>ROUNDUP(AVERAGE(G70:I70),5)</f>
        <v>52.634500000000003</v>
      </c>
      <c r="K70" s="291">
        <f>ROUNDUP(AVERAGE(H70:J70),5)</f>
        <v>46.215320000000006</v>
      </c>
      <c r="L70" s="291">
        <f>ROUNDUP(AVERAGE(I70:K70),5)</f>
        <v>50.073680000000003</v>
      </c>
      <c r="M70" s="292">
        <f>ROUNDUP(AVERAGE(J70:L70),5)</f>
        <v>49.641170000000002</v>
      </c>
      <c r="N70" s="289"/>
      <c r="O70" s="294"/>
      <c r="P70" s="289"/>
      <c r="Q70" s="289"/>
      <c r="R70" s="289"/>
      <c r="S70" s="289"/>
      <c r="T70" s="289"/>
      <c r="U70" s="289"/>
      <c r="V70" s="289"/>
      <c r="W70" s="289"/>
      <c r="X70" s="289"/>
      <c r="Y70" s="289"/>
      <c r="Z70" s="289"/>
      <c r="AA70" s="289"/>
      <c r="AB70" s="289"/>
      <c r="AC70" s="289"/>
      <c r="AD70" s="289"/>
      <c r="AE70" s="289"/>
      <c r="AF70" s="289"/>
      <c r="AG70" s="289"/>
      <c r="AH70" s="289"/>
      <c r="AI70" s="289"/>
    </row>
    <row r="71" spans="1:35" ht="14.25" customHeight="1" x14ac:dyDescent="0.3">
      <c r="B71" s="148"/>
      <c r="C71" s="148"/>
      <c r="D71" s="268"/>
      <c r="E71" s="257"/>
      <c r="F71" s="257"/>
      <c r="G71" s="257"/>
      <c r="H71" s="287"/>
      <c r="I71" s="288"/>
      <c r="J71" s="257"/>
      <c r="K71" s="257"/>
      <c r="L71" s="257"/>
      <c r="M71" s="287"/>
      <c r="O71" s="148"/>
    </row>
    <row r="72" spans="1:35" ht="14.25" customHeight="1" x14ac:dyDescent="0.3">
      <c r="B72" s="224" t="s">
        <v>374</v>
      </c>
      <c r="C72" s="225"/>
      <c r="D72" s="198"/>
      <c r="E72" s="257"/>
      <c r="F72" s="257"/>
      <c r="G72" s="257"/>
      <c r="H72" s="287"/>
      <c r="I72" s="288"/>
      <c r="J72" s="257"/>
      <c r="K72" s="257"/>
      <c r="L72" s="257"/>
      <c r="M72" s="287"/>
      <c r="O72" s="148"/>
    </row>
    <row r="73" spans="1:35" ht="14.25" customHeight="1" x14ac:dyDescent="0.3">
      <c r="A73" s="289"/>
      <c r="B73" s="295" t="s">
        <v>375</v>
      </c>
      <c r="C73" s="296"/>
      <c r="D73" s="297"/>
      <c r="E73" s="298">
        <f>'BALANCE SHEET'!D26</f>
        <v>7700.1</v>
      </c>
      <c r="F73" s="298">
        <f>'BALANCE SHEET'!E26</f>
        <v>7356.86</v>
      </c>
      <c r="G73" s="298">
        <f>'BALANCE SHEET'!F26</f>
        <v>5713.37</v>
      </c>
      <c r="H73" s="299">
        <f>'BALANCE SHEET'!G26</f>
        <v>4537.0800000000008</v>
      </c>
      <c r="I73" s="300">
        <f>I79*I63/365</f>
        <v>5002.7011779500926</v>
      </c>
      <c r="J73" s="298">
        <f>J79*J63/365</f>
        <v>4672.7136147880456</v>
      </c>
      <c r="K73" s="298">
        <f>K79*K63/365</f>
        <v>4327.0006657967851</v>
      </c>
      <c r="L73" s="298">
        <f>L79*L63/365</f>
        <v>4656.2675533035817</v>
      </c>
      <c r="M73" s="299">
        <f>M79*M63/365</f>
        <v>5339.219958905197</v>
      </c>
      <c r="N73" s="301"/>
      <c r="O73" s="302"/>
      <c r="P73" s="289"/>
      <c r="Q73" s="289"/>
      <c r="R73" s="289"/>
      <c r="S73" s="289"/>
      <c r="T73" s="289"/>
      <c r="U73" s="289"/>
      <c r="V73" s="289"/>
      <c r="W73" s="289"/>
      <c r="X73" s="289"/>
      <c r="Y73" s="289"/>
      <c r="Z73" s="289"/>
      <c r="AA73" s="289"/>
      <c r="AB73" s="289"/>
      <c r="AC73" s="289"/>
      <c r="AD73" s="289"/>
      <c r="AE73" s="289"/>
      <c r="AF73" s="289"/>
      <c r="AG73" s="289"/>
      <c r="AH73" s="289"/>
      <c r="AI73" s="289"/>
    </row>
    <row r="74" spans="1:35" ht="14.25" customHeight="1" x14ac:dyDescent="0.3">
      <c r="B74" s="303" t="s">
        <v>195</v>
      </c>
      <c r="C74" s="148"/>
      <c r="D74" s="198"/>
      <c r="E74" s="239">
        <f>'BALANCE SHEET'!D23</f>
        <v>138.91999999999999</v>
      </c>
      <c r="F74" s="239">
        <f>'BALANCE SHEET'!E23</f>
        <v>103.4</v>
      </c>
      <c r="G74" s="239">
        <f>'BALANCE SHEET'!F23</f>
        <v>113.3</v>
      </c>
      <c r="H74" s="240">
        <f>'BALANCE SHEET'!G23</f>
        <v>432.21</v>
      </c>
      <c r="I74" s="238">
        <f>I73-I75-I77</f>
        <v>215.36177883811976</v>
      </c>
      <c r="J74" s="239">
        <f>J73-J75-J77</f>
        <v>246.31662669440274</v>
      </c>
      <c r="K74" s="239">
        <f>K73-K75-K77</f>
        <v>275.52124575741715</v>
      </c>
      <c r="L74" s="239">
        <f>L73-L75-L77</f>
        <v>247.46169678021568</v>
      </c>
      <c r="M74" s="240">
        <f>M73-M75-M77</f>
        <v>301.72758564301711</v>
      </c>
      <c r="O74" s="304"/>
    </row>
    <row r="75" spans="1:35" ht="14.25" customHeight="1" x14ac:dyDescent="0.3">
      <c r="B75" s="303" t="s">
        <v>196</v>
      </c>
      <c r="C75" s="148"/>
      <c r="D75" s="198"/>
      <c r="E75" s="239">
        <f>'BALANCE SHEET'!D24</f>
        <v>7557.16</v>
      </c>
      <c r="F75" s="239">
        <f>'BALANCE SHEET'!E24</f>
        <v>7241.44</v>
      </c>
      <c r="G75" s="239">
        <f>'BALANCE SHEET'!F24</f>
        <v>5590.7</v>
      </c>
      <c r="H75" s="240">
        <f>'BALANCE SHEET'!G24</f>
        <v>4096.5200000000004</v>
      </c>
      <c r="I75" s="238">
        <f>I76*I73</f>
        <v>4778.8110396569291</v>
      </c>
      <c r="J75" s="239">
        <f>J76*J73</f>
        <v>4418.3207407952059</v>
      </c>
      <c r="K75" s="239">
        <f>K76*K73</f>
        <v>4043.8732358373118</v>
      </c>
      <c r="L75" s="239">
        <f>L76*L73</f>
        <v>4400.7489958540555</v>
      </c>
      <c r="M75" s="240">
        <f>M76*M73</f>
        <v>5028.2082653777261</v>
      </c>
      <c r="O75" s="304"/>
    </row>
    <row r="76" spans="1:35" s="185" customFormat="1" ht="41.25" customHeight="1" x14ac:dyDescent="0.3">
      <c r="B76" s="305" t="s">
        <v>376</v>
      </c>
      <c r="C76" s="306" t="s">
        <v>377</v>
      </c>
      <c r="D76" s="307"/>
      <c r="E76" s="246">
        <f>E75/E73</f>
        <v>0.98143660471941918</v>
      </c>
      <c r="F76" s="246">
        <f>F75/F73</f>
        <v>0.98431124148074045</v>
      </c>
      <c r="G76" s="246">
        <f>G75/G73</f>
        <v>0.97852930932181881</v>
      </c>
      <c r="H76" s="247">
        <f>H75/H73</f>
        <v>0.90289789908928197</v>
      </c>
      <c r="I76" s="248">
        <f>AVERAGE(F76:H76)</f>
        <v>0.95524614996394719</v>
      </c>
      <c r="J76" s="246">
        <f>AVERAGE(G76:I76)</f>
        <v>0.94555778612501606</v>
      </c>
      <c r="K76" s="246">
        <f>AVERAGE(H76:J76)</f>
        <v>0.93456727839274845</v>
      </c>
      <c r="L76" s="246">
        <f>AVERAGE(I76:K76)</f>
        <v>0.9451237381605706</v>
      </c>
      <c r="M76" s="247">
        <f>AVERAGE(J76:L76)</f>
        <v>0.94174960089277837</v>
      </c>
      <c r="O76" s="308" t="s">
        <v>378</v>
      </c>
    </row>
    <row r="77" spans="1:35" ht="14.25" customHeight="1" x14ac:dyDescent="0.3">
      <c r="B77" s="303" t="s">
        <v>197</v>
      </c>
      <c r="C77" s="148"/>
      <c r="D77" s="198"/>
      <c r="E77" s="239">
        <f>'BALANCE SHEET'!D25</f>
        <v>4.0199999999999996</v>
      </c>
      <c r="F77" s="239">
        <f>'BALANCE SHEET'!E25</f>
        <v>12.02</v>
      </c>
      <c r="G77" s="239">
        <f>'BALANCE SHEET'!F25</f>
        <v>9.3699999999999992</v>
      </c>
      <c r="H77" s="240">
        <f>'BALANCE SHEET'!G25</f>
        <v>8.35</v>
      </c>
      <c r="I77" s="238">
        <f>I78*I73</f>
        <v>8.5283594550437822</v>
      </c>
      <c r="J77" s="239">
        <f>J78*J73</f>
        <v>8.076247298436936</v>
      </c>
      <c r="K77" s="239">
        <f>K78*K73</f>
        <v>7.6061842020562258</v>
      </c>
      <c r="L77" s="239">
        <f>L78*L73</f>
        <v>8.0568606693105984</v>
      </c>
      <c r="M77" s="240">
        <f>M78*M73</f>
        <v>9.2841078844538156</v>
      </c>
      <c r="O77" s="304"/>
    </row>
    <row r="78" spans="1:35" s="185" customFormat="1" ht="27.75" customHeight="1" x14ac:dyDescent="0.3">
      <c r="B78" s="305" t="s">
        <v>379</v>
      </c>
      <c r="C78" s="306" t="s">
        <v>377</v>
      </c>
      <c r="D78" s="307"/>
      <c r="E78" s="246">
        <f>E77/E73</f>
        <v>5.2207114193322161E-4</v>
      </c>
      <c r="F78" s="246">
        <f>F77/F73</f>
        <v>1.6338492237177274E-3</v>
      </c>
      <c r="G78" s="246">
        <f>G77/G73</f>
        <v>1.6400128120531315E-3</v>
      </c>
      <c r="H78" s="247">
        <f>H77/H73</f>
        <v>1.8403907358918066E-3</v>
      </c>
      <c r="I78" s="248">
        <f>AVERAGE(F78:H78)</f>
        <v>1.7047509238875553E-3</v>
      </c>
      <c r="J78" s="246">
        <f>AVERAGE(G78:I78)</f>
        <v>1.7283848239441643E-3</v>
      </c>
      <c r="K78" s="246">
        <f>AVERAGE(H78:J78)</f>
        <v>1.7578421612411755E-3</v>
      </c>
      <c r="L78" s="246">
        <f>AVERAGE(I78:K78)</f>
        <v>1.7303259696909651E-3</v>
      </c>
      <c r="M78" s="247">
        <f>AVERAGE(J78:L78)</f>
        <v>1.7388509849587683E-3</v>
      </c>
      <c r="O78" s="308" t="s">
        <v>380</v>
      </c>
    </row>
    <row r="79" spans="1:35" ht="54.75" customHeight="1" x14ac:dyDescent="0.3">
      <c r="A79" s="289"/>
      <c r="B79" s="309" t="s">
        <v>381</v>
      </c>
      <c r="C79" s="310" t="s">
        <v>382</v>
      </c>
      <c r="D79" s="311"/>
      <c r="E79" s="312">
        <f>365*E73/E63</f>
        <v>696.35474607724836</v>
      </c>
      <c r="F79" s="312">
        <f>365*F73/F63</f>
        <v>480.0110651305381</v>
      </c>
      <c r="G79" s="312">
        <f>365*G73/G63</f>
        <v>315.49295678761132</v>
      </c>
      <c r="H79" s="313">
        <f>365*H73/H63</f>
        <v>236.46416271139978</v>
      </c>
      <c r="I79" s="314">
        <f>H79-25</f>
        <v>211.46416271139978</v>
      </c>
      <c r="J79" s="312">
        <f>MAX(I79-25,150)</f>
        <v>186.46416271139978</v>
      </c>
      <c r="K79" s="312">
        <f>MAX(J79-25,150)</f>
        <v>161.46416271139978</v>
      </c>
      <c r="L79" s="312">
        <f>MAX(K79-25,150)</f>
        <v>150</v>
      </c>
      <c r="M79" s="313">
        <f>MAX(L79-25,150)</f>
        <v>150</v>
      </c>
      <c r="N79" s="315"/>
      <c r="O79" s="316" t="s">
        <v>383</v>
      </c>
      <c r="P79" s="289"/>
      <c r="Q79" s="289"/>
      <c r="R79" s="289"/>
      <c r="S79" s="289"/>
      <c r="T79" s="289"/>
      <c r="U79" s="289"/>
      <c r="V79" s="289"/>
      <c r="W79" s="289"/>
      <c r="X79" s="289"/>
      <c r="Y79" s="289"/>
      <c r="Z79" s="289"/>
      <c r="AA79" s="289"/>
      <c r="AB79" s="289"/>
      <c r="AC79" s="289"/>
      <c r="AD79" s="289"/>
      <c r="AE79" s="289"/>
      <c r="AF79" s="289"/>
      <c r="AG79" s="289"/>
      <c r="AH79" s="289"/>
      <c r="AI79" s="289"/>
    </row>
    <row r="80" spans="1:35" ht="14.25" customHeight="1" x14ac:dyDescent="0.3">
      <c r="B80" s="148"/>
      <c r="C80" s="148"/>
      <c r="D80" s="198"/>
      <c r="E80" s="257"/>
      <c r="F80" s="257"/>
      <c r="G80" s="257"/>
      <c r="H80" s="287"/>
      <c r="I80" s="288"/>
      <c r="J80" s="257"/>
      <c r="K80" s="257"/>
      <c r="L80" s="257"/>
      <c r="M80" s="287"/>
      <c r="O80" s="148"/>
    </row>
    <row r="81" spans="1:35" ht="14.25" customHeight="1" x14ac:dyDescent="0.3">
      <c r="B81" s="224" t="s">
        <v>384</v>
      </c>
      <c r="C81" s="225"/>
      <c r="D81" s="198"/>
      <c r="E81" s="257"/>
      <c r="F81" s="257"/>
      <c r="G81" s="257"/>
      <c r="H81" s="287"/>
      <c r="I81" s="288"/>
      <c r="J81" s="257"/>
      <c r="K81" s="257"/>
      <c r="L81" s="257"/>
      <c r="M81" s="287"/>
      <c r="O81" s="148"/>
    </row>
    <row r="82" spans="1:35" ht="14.25" customHeight="1" x14ac:dyDescent="0.3">
      <c r="B82" s="201" t="s">
        <v>385</v>
      </c>
      <c r="C82" s="148"/>
      <c r="D82" s="198"/>
      <c r="E82" s="239">
        <f>'BALANCE SHEET'!D62+'BALANCE SHEET'!D63</f>
        <v>6165.65</v>
      </c>
      <c r="F82" s="239">
        <f>'BALANCE SHEET'!E62+'BALANCE SHEET'!E63</f>
        <v>4462.79</v>
      </c>
      <c r="G82" s="239">
        <f>'BALANCE SHEET'!F62+'BALANCE SHEET'!F63</f>
        <v>4429.8100000000004</v>
      </c>
      <c r="H82" s="240">
        <f>'BALANCE SHEET'!G62+'BALANCE SHEET'!G63</f>
        <v>3738.2999999999997</v>
      </c>
      <c r="I82" s="238">
        <f>I85*I63/365</f>
        <v>3448.2446631588705</v>
      </c>
      <c r="J82" s="239">
        <f>J85*J63/365</f>
        <v>3007.149607844106</v>
      </c>
      <c r="K82" s="239">
        <f>K85*K63/365</f>
        <v>3215.8224535787626</v>
      </c>
      <c r="L82" s="239">
        <f>L85*L63/365</f>
        <v>3725.0140426428657</v>
      </c>
      <c r="M82" s="240">
        <f>M85*M63/365</f>
        <v>4271.3759671241578</v>
      </c>
      <c r="O82" s="148"/>
    </row>
    <row r="83" spans="1:35" ht="27.75" customHeight="1" x14ac:dyDescent="0.3">
      <c r="B83" s="201" t="s">
        <v>386</v>
      </c>
      <c r="C83" s="148"/>
      <c r="D83" s="198"/>
      <c r="E83" s="239">
        <f>'BALANCE SHEET'!D49+'BALANCE SHEET'!D50</f>
        <v>17.73</v>
      </c>
      <c r="F83" s="239">
        <f>'BALANCE SHEET'!E49+'BALANCE SHEET'!E50</f>
        <v>18.02</v>
      </c>
      <c r="G83" s="239">
        <f>'BALANCE SHEET'!F49+'BALANCE SHEET'!F50</f>
        <v>17.649999999999999</v>
      </c>
      <c r="H83" s="240">
        <f>'BALANCE SHEET'!G49+'BALANCE SHEET'!G50</f>
        <v>17.73</v>
      </c>
      <c r="I83" s="238">
        <v>17.73</v>
      </c>
      <c r="J83" s="239">
        <v>17.73</v>
      </c>
      <c r="K83" s="239">
        <v>17.73</v>
      </c>
      <c r="L83" s="239">
        <v>17.73</v>
      </c>
      <c r="M83" s="240">
        <v>17.73</v>
      </c>
      <c r="O83" s="222" t="s">
        <v>387</v>
      </c>
    </row>
    <row r="84" spans="1:35" s="223" customFormat="1" ht="14.25" customHeight="1" x14ac:dyDescent="0.3">
      <c r="B84" s="224" t="s">
        <v>388</v>
      </c>
      <c r="C84" s="225"/>
      <c r="D84" s="268"/>
      <c r="E84" s="279">
        <f t="shared" ref="E84:M84" si="15">SUM(E82:E83)</f>
        <v>6183.3799999999992</v>
      </c>
      <c r="F84" s="279">
        <f t="shared" si="15"/>
        <v>4480.8100000000004</v>
      </c>
      <c r="G84" s="279">
        <f t="shared" si="15"/>
        <v>4447.46</v>
      </c>
      <c r="H84" s="280">
        <f t="shared" si="15"/>
        <v>3756.0299999999997</v>
      </c>
      <c r="I84" s="281">
        <f t="shared" si="15"/>
        <v>3465.9746631588705</v>
      </c>
      <c r="J84" s="279">
        <f t="shared" si="15"/>
        <v>3024.879607844106</v>
      </c>
      <c r="K84" s="279">
        <f t="shared" si="15"/>
        <v>3233.5524535787627</v>
      </c>
      <c r="L84" s="279">
        <f t="shared" si="15"/>
        <v>3742.7440426428657</v>
      </c>
      <c r="M84" s="280">
        <f t="shared" si="15"/>
        <v>4289.1059671241574</v>
      </c>
      <c r="O84" s="229"/>
    </row>
    <row r="85" spans="1:35" ht="54.75" customHeight="1" x14ac:dyDescent="0.3">
      <c r="A85" s="289"/>
      <c r="B85" s="193" t="s">
        <v>389</v>
      </c>
      <c r="C85" s="290" t="s">
        <v>390</v>
      </c>
      <c r="D85" s="317"/>
      <c r="E85" s="291">
        <f>365*E84/E63</f>
        <v>559.19092087104525</v>
      </c>
      <c r="F85" s="291">
        <f>365*F84/F63</f>
        <v>292.35820455297051</v>
      </c>
      <c r="G85" s="291">
        <f>365*G84/G63</f>
        <v>245.58925915784027</v>
      </c>
      <c r="H85" s="292">
        <f>365*H84/H63</f>
        <v>195.7572908277788</v>
      </c>
      <c r="I85" s="293">
        <f>MAX(H85-50,120)</f>
        <v>145.7572908277788</v>
      </c>
      <c r="J85" s="291">
        <f>MAX(I85-50,120)</f>
        <v>120</v>
      </c>
      <c r="K85" s="291">
        <f>MAX(J85-50,120)</f>
        <v>120</v>
      </c>
      <c r="L85" s="291">
        <f>MAX(K85-50,120)</f>
        <v>120</v>
      </c>
      <c r="M85" s="292">
        <f>MAX(L85-50,120)</f>
        <v>120</v>
      </c>
      <c r="N85" s="289"/>
      <c r="O85" s="318" t="s">
        <v>391</v>
      </c>
      <c r="P85" s="289"/>
      <c r="Q85" s="289"/>
      <c r="R85" s="289"/>
      <c r="S85" s="289"/>
      <c r="T85" s="289"/>
      <c r="U85" s="289"/>
      <c r="V85" s="289"/>
      <c r="W85" s="289"/>
      <c r="X85" s="289"/>
      <c r="Y85" s="289"/>
      <c r="Z85" s="289"/>
      <c r="AA85" s="289"/>
      <c r="AB85" s="289"/>
      <c r="AC85" s="289"/>
      <c r="AD85" s="289"/>
      <c r="AE85" s="289"/>
      <c r="AF85" s="289"/>
      <c r="AG85" s="289"/>
      <c r="AH85" s="289"/>
      <c r="AI85" s="289"/>
    </row>
    <row r="86" spans="1:35" ht="14.25" customHeight="1" x14ac:dyDescent="0.3">
      <c r="A86" s="289"/>
      <c r="B86" s="224" t="s">
        <v>392</v>
      </c>
      <c r="C86" s="319"/>
      <c r="D86" s="317"/>
      <c r="E86" s="289"/>
      <c r="F86" s="289"/>
      <c r="G86" s="289"/>
      <c r="H86" s="320"/>
      <c r="I86" s="321"/>
      <c r="J86" s="289"/>
      <c r="K86" s="289"/>
      <c r="L86" s="289"/>
      <c r="M86" s="320"/>
      <c r="N86" s="289"/>
      <c r="O86" s="294"/>
      <c r="P86" s="289"/>
      <c r="Q86" s="289"/>
      <c r="R86" s="289"/>
      <c r="S86" s="289"/>
      <c r="T86" s="289"/>
      <c r="U86" s="289"/>
      <c r="V86" s="289"/>
      <c r="W86" s="289"/>
      <c r="X86" s="289"/>
      <c r="Y86" s="289"/>
      <c r="Z86" s="289"/>
      <c r="AA86" s="289"/>
      <c r="AB86" s="289"/>
      <c r="AC86" s="289"/>
      <c r="AD86" s="289"/>
      <c r="AE86" s="289"/>
      <c r="AF86" s="289"/>
      <c r="AG86" s="289"/>
      <c r="AH86" s="289"/>
      <c r="AI86" s="289"/>
    </row>
    <row r="87" spans="1:35" ht="14.25" customHeight="1" x14ac:dyDescent="0.3">
      <c r="A87" s="289"/>
      <c r="B87" s="105" t="s">
        <v>226</v>
      </c>
      <c r="C87" s="319"/>
      <c r="D87" s="317"/>
      <c r="E87" s="239">
        <f>'BALANCE SHEET'!D62</f>
        <v>0.15</v>
      </c>
      <c r="F87" s="239">
        <f>'BALANCE SHEET'!E62</f>
        <v>46.59</v>
      </c>
      <c r="G87" s="239">
        <f>'BALANCE SHEET'!F62</f>
        <v>168.63</v>
      </c>
      <c r="H87" s="240">
        <f>'BALANCE SHEET'!G62</f>
        <v>226.87</v>
      </c>
      <c r="I87" s="238">
        <f>I90*I64/365</f>
        <v>361.67837696496969</v>
      </c>
      <c r="J87" s="239">
        <f>J90*J64/365</f>
        <v>431.93134469373734</v>
      </c>
      <c r="K87" s="239">
        <f>K90*K64/365</f>
        <v>521.21415275264133</v>
      </c>
      <c r="L87" s="239">
        <f>L90*L64/365</f>
        <v>677.12117895508004</v>
      </c>
      <c r="M87" s="240">
        <f>M90*M64/365</f>
        <v>855.26881150984389</v>
      </c>
      <c r="N87" s="289"/>
      <c r="O87" s="294"/>
      <c r="P87" s="289"/>
      <c r="Q87" s="289"/>
      <c r="R87" s="289"/>
      <c r="S87" s="289"/>
      <c r="T87" s="289"/>
      <c r="U87" s="289"/>
      <c r="V87" s="289"/>
      <c r="W87" s="289"/>
      <c r="X87" s="289"/>
      <c r="Y87" s="289"/>
      <c r="Z87" s="289"/>
      <c r="AA87" s="289"/>
      <c r="AB87" s="289"/>
      <c r="AC87" s="289"/>
      <c r="AD87" s="289"/>
      <c r="AE87" s="289"/>
      <c r="AF87" s="289"/>
      <c r="AG87" s="289"/>
      <c r="AH87" s="289"/>
      <c r="AI87" s="289"/>
    </row>
    <row r="88" spans="1:35" ht="14.25" customHeight="1" x14ac:dyDescent="0.3">
      <c r="A88" s="289"/>
      <c r="B88" s="105" t="s">
        <v>216</v>
      </c>
      <c r="C88" s="319"/>
      <c r="D88" s="317"/>
      <c r="E88" s="239">
        <f>'BALANCE SHEET'!C49</f>
        <v>0</v>
      </c>
      <c r="F88" s="239">
        <f>'BALANCE SHEET'!D49</f>
        <v>0</v>
      </c>
      <c r="G88" s="239">
        <f>'BALANCE SHEET'!E49</f>
        <v>0</v>
      </c>
      <c r="H88" s="240">
        <f>'BALANCE SHEET'!F49</f>
        <v>0</v>
      </c>
      <c r="I88" s="238">
        <v>0</v>
      </c>
      <c r="J88" s="239">
        <v>0</v>
      </c>
      <c r="K88" s="239">
        <v>0</v>
      </c>
      <c r="L88" s="239">
        <v>0</v>
      </c>
      <c r="M88" s="240">
        <v>0</v>
      </c>
      <c r="N88" s="289"/>
      <c r="O88" s="294"/>
      <c r="P88" s="289"/>
      <c r="Q88" s="289"/>
      <c r="R88" s="289"/>
      <c r="S88" s="289"/>
      <c r="T88" s="289"/>
      <c r="U88" s="289"/>
      <c r="V88" s="289"/>
      <c r="W88" s="289"/>
      <c r="X88" s="289"/>
      <c r="Y88" s="289"/>
      <c r="Z88" s="289"/>
      <c r="AA88" s="289"/>
      <c r="AB88" s="289"/>
      <c r="AC88" s="289"/>
      <c r="AD88" s="289"/>
      <c r="AE88" s="289"/>
      <c r="AF88" s="289"/>
      <c r="AG88" s="289"/>
      <c r="AH88" s="289"/>
      <c r="AI88" s="289"/>
    </row>
    <row r="89" spans="1:35" s="223" customFormat="1" ht="14.25" customHeight="1" x14ac:dyDescent="0.3">
      <c r="A89" s="322"/>
      <c r="B89" s="224" t="s">
        <v>393</v>
      </c>
      <c r="C89" s="323"/>
      <c r="D89" s="324"/>
      <c r="E89" s="279">
        <f t="shared" ref="E89:M89" si="16">SUM(E87:E88)</f>
        <v>0.15</v>
      </c>
      <c r="F89" s="279">
        <f t="shared" si="16"/>
        <v>46.59</v>
      </c>
      <c r="G89" s="279">
        <f t="shared" si="16"/>
        <v>168.63</v>
      </c>
      <c r="H89" s="280">
        <f t="shared" si="16"/>
        <v>226.87</v>
      </c>
      <c r="I89" s="281">
        <f t="shared" si="16"/>
        <v>361.67837696496969</v>
      </c>
      <c r="J89" s="279">
        <f t="shared" si="16"/>
        <v>431.93134469373734</v>
      </c>
      <c r="K89" s="279">
        <f t="shared" si="16"/>
        <v>521.21415275264133</v>
      </c>
      <c r="L89" s="279">
        <f t="shared" si="16"/>
        <v>677.12117895508004</v>
      </c>
      <c r="M89" s="280">
        <f t="shared" si="16"/>
        <v>855.26881150984389</v>
      </c>
      <c r="N89" s="322"/>
      <c r="O89" s="325"/>
      <c r="P89" s="322"/>
      <c r="Q89" s="322"/>
      <c r="R89" s="322"/>
      <c r="S89" s="322"/>
      <c r="T89" s="322"/>
      <c r="U89" s="322"/>
      <c r="V89" s="322"/>
      <c r="W89" s="322"/>
      <c r="X89" s="322"/>
      <c r="Y89" s="322"/>
      <c r="Z89" s="322"/>
      <c r="AA89" s="322"/>
      <c r="AB89" s="322"/>
      <c r="AC89" s="322"/>
      <c r="AD89" s="322"/>
      <c r="AE89" s="322"/>
      <c r="AF89" s="322"/>
      <c r="AG89" s="322"/>
      <c r="AH89" s="322"/>
      <c r="AI89" s="322"/>
    </row>
    <row r="90" spans="1:35" ht="41.25" customHeight="1" x14ac:dyDescent="0.3">
      <c r="A90" s="289"/>
      <c r="B90" s="201" t="s">
        <v>394</v>
      </c>
      <c r="C90" s="326" t="s">
        <v>395</v>
      </c>
      <c r="D90" s="317"/>
      <c r="E90" s="327">
        <f>ROUNDUP(365*E89/E64,0)</f>
        <v>1</v>
      </c>
      <c r="F90" s="327">
        <f>ROUNDUP(365*F89/F64,0)</f>
        <v>4</v>
      </c>
      <c r="G90" s="327">
        <f>ROUNDUP(365*G89/G64,0)</f>
        <v>12</v>
      </c>
      <c r="H90" s="328">
        <f>ROUNDUP(365*H89/H64,0)</f>
        <v>15</v>
      </c>
      <c r="I90" s="329">
        <f>MIN(H90+3,45)</f>
        <v>18</v>
      </c>
      <c r="J90" s="327">
        <f>MIN(I90+3,45)</f>
        <v>21</v>
      </c>
      <c r="K90" s="327">
        <f>MIN(J90+3,45)</f>
        <v>24</v>
      </c>
      <c r="L90" s="327">
        <f>MIN(K90+3,45)</f>
        <v>27</v>
      </c>
      <c r="M90" s="328">
        <f>MIN(L90+3,45)</f>
        <v>30</v>
      </c>
      <c r="N90" s="289"/>
      <c r="O90" s="318" t="s">
        <v>396</v>
      </c>
      <c r="P90" s="289"/>
      <c r="Q90" s="289"/>
      <c r="R90" s="289"/>
      <c r="S90" s="289"/>
      <c r="T90" s="289"/>
      <c r="U90" s="289"/>
      <c r="V90" s="289"/>
      <c r="W90" s="289"/>
      <c r="X90" s="289"/>
      <c r="Y90" s="289"/>
      <c r="Z90" s="289"/>
      <c r="AA90" s="289"/>
      <c r="AB90" s="289"/>
      <c r="AC90" s="289"/>
      <c r="AD90" s="289"/>
      <c r="AE90" s="289"/>
      <c r="AF90" s="289"/>
      <c r="AG90" s="289"/>
      <c r="AH90" s="289"/>
      <c r="AI90" s="289"/>
    </row>
    <row r="91" spans="1:35" ht="14.25" customHeight="1" x14ac:dyDescent="0.3">
      <c r="B91" s="148"/>
      <c r="C91" s="148"/>
      <c r="D91" s="198"/>
      <c r="H91" s="104"/>
      <c r="I91" s="103"/>
      <c r="M91" s="104"/>
      <c r="O91" s="148"/>
    </row>
    <row r="92" spans="1:35" ht="14.25" customHeight="1" x14ac:dyDescent="0.3">
      <c r="A92" s="322"/>
      <c r="B92" s="186" t="s">
        <v>397</v>
      </c>
      <c r="C92" s="330"/>
      <c r="D92" s="317"/>
      <c r="E92" s="291">
        <f t="shared" ref="E92:M92" si="17">E70+E79-E85</f>
        <v>202.30037880205055</v>
      </c>
      <c r="F92" s="291">
        <f t="shared" si="17"/>
        <v>235.23420532752868</v>
      </c>
      <c r="G92" s="291">
        <f t="shared" si="17"/>
        <v>141.79573255685136</v>
      </c>
      <c r="H92" s="292">
        <f t="shared" si="17"/>
        <v>75.347114783301521</v>
      </c>
      <c r="I92" s="293">
        <f t="shared" si="17"/>
        <v>117.07808188362097</v>
      </c>
      <c r="J92" s="291">
        <f t="shared" si="17"/>
        <v>119.09866271139978</v>
      </c>
      <c r="K92" s="291">
        <f t="shared" si="17"/>
        <v>87.679482711399771</v>
      </c>
      <c r="L92" s="291">
        <f t="shared" si="17"/>
        <v>80.073679999999996</v>
      </c>
      <c r="M92" s="292">
        <f t="shared" si="17"/>
        <v>79.641169999999988</v>
      </c>
      <c r="N92" s="289"/>
      <c r="O92" s="325"/>
      <c r="P92" s="289"/>
      <c r="Q92" s="289"/>
      <c r="R92" s="289"/>
      <c r="S92" s="289"/>
      <c r="T92" s="289"/>
      <c r="U92" s="289"/>
      <c r="V92" s="289"/>
      <c r="W92" s="289"/>
      <c r="X92" s="289"/>
      <c r="Y92" s="289"/>
      <c r="Z92" s="289"/>
      <c r="AA92" s="289"/>
      <c r="AB92" s="289"/>
      <c r="AC92" s="289"/>
      <c r="AD92" s="289"/>
      <c r="AE92" s="289"/>
      <c r="AF92" s="289"/>
      <c r="AG92" s="289"/>
      <c r="AH92" s="289"/>
      <c r="AI92" s="289"/>
    </row>
    <row r="93" spans="1:35" ht="14.25" customHeight="1" x14ac:dyDescent="0.3">
      <c r="A93" s="223"/>
      <c r="B93" s="331"/>
      <c r="C93" s="332"/>
      <c r="D93" s="311"/>
      <c r="E93" s="333"/>
      <c r="F93" s="333"/>
      <c r="G93" s="333"/>
      <c r="H93" s="334"/>
      <c r="I93" s="335"/>
      <c r="J93" s="333"/>
      <c r="K93" s="333"/>
      <c r="L93" s="333"/>
      <c r="M93" s="334"/>
      <c r="N93" s="223"/>
      <c r="O93" s="336"/>
    </row>
    <row r="94" spans="1:35" ht="14.25" customHeight="1" x14ac:dyDescent="0.3">
      <c r="A94" s="178"/>
      <c r="B94" s="179" t="s">
        <v>398</v>
      </c>
      <c r="C94" s="180"/>
      <c r="D94" s="337"/>
      <c r="E94" s="182"/>
      <c r="F94" s="182"/>
      <c r="G94" s="182"/>
      <c r="H94" s="183"/>
      <c r="I94" s="181"/>
      <c r="J94" s="182"/>
      <c r="K94" s="182"/>
      <c r="L94" s="182"/>
      <c r="M94" s="183"/>
      <c r="O94" s="184"/>
    </row>
    <row r="95" spans="1:35" ht="14.25" customHeight="1" x14ac:dyDescent="0.3">
      <c r="B95" s="277"/>
      <c r="C95" s="225"/>
      <c r="D95" s="198"/>
      <c r="H95" s="104"/>
      <c r="I95" s="103"/>
      <c r="M95" s="104"/>
      <c r="O95" s="148"/>
    </row>
    <row r="96" spans="1:35" ht="14.25" customHeight="1" x14ac:dyDescent="0.3">
      <c r="B96" s="338" t="s">
        <v>191</v>
      </c>
      <c r="C96" s="339"/>
      <c r="D96" s="198"/>
      <c r="H96" s="104"/>
      <c r="I96" s="103"/>
      <c r="M96" s="104"/>
      <c r="O96" s="148"/>
    </row>
    <row r="97" spans="1:35" ht="14.25" customHeight="1" x14ac:dyDescent="0.3">
      <c r="B97" s="340" t="s">
        <v>399</v>
      </c>
      <c r="C97" s="341"/>
      <c r="D97" s="259"/>
      <c r="E97" s="239">
        <f t="shared" ref="E97:M97" si="18">D99</f>
        <v>1.04</v>
      </c>
      <c r="F97" s="239">
        <f t="shared" si="18"/>
        <v>3.43</v>
      </c>
      <c r="G97" s="239">
        <f t="shared" si="18"/>
        <v>8.69</v>
      </c>
      <c r="H97" s="240">
        <f t="shared" si="18"/>
        <v>439.86</v>
      </c>
      <c r="I97" s="238">
        <f t="shared" si="18"/>
        <v>115.36</v>
      </c>
      <c r="J97" s="239">
        <f t="shared" si="18"/>
        <v>350.36</v>
      </c>
      <c r="K97" s="239">
        <f t="shared" si="18"/>
        <v>400.36</v>
      </c>
      <c r="L97" s="239">
        <f t="shared" si="18"/>
        <v>350.36</v>
      </c>
      <c r="M97" s="240">
        <f t="shared" si="18"/>
        <v>200.36</v>
      </c>
      <c r="O97" s="148"/>
    </row>
    <row r="98" spans="1:35" ht="68.25" customHeight="1" x14ac:dyDescent="0.3">
      <c r="B98" s="340" t="s">
        <v>400</v>
      </c>
      <c r="C98" s="342" t="s">
        <v>401</v>
      </c>
      <c r="D98" s="259"/>
      <c r="E98" s="239">
        <f>E99-E97</f>
        <v>2.39</v>
      </c>
      <c r="F98" s="239">
        <f>F99-F97</f>
        <v>5.26</v>
      </c>
      <c r="G98" s="239">
        <f>G99-G97</f>
        <v>431.17</v>
      </c>
      <c r="H98" s="240">
        <f>H99-H97</f>
        <v>-324.5</v>
      </c>
      <c r="I98" s="238">
        <v>235</v>
      </c>
      <c r="J98" s="239">
        <v>50</v>
      </c>
      <c r="K98" s="239">
        <v>-50</v>
      </c>
      <c r="L98" s="239">
        <v>-150</v>
      </c>
      <c r="M98" s="240">
        <v>-150</v>
      </c>
      <c r="O98" s="222" t="s">
        <v>402</v>
      </c>
    </row>
    <row r="99" spans="1:35" s="223" customFormat="1" ht="14.25" customHeight="1" x14ac:dyDescent="0.3">
      <c r="B99" s="338" t="s">
        <v>403</v>
      </c>
      <c r="C99" s="339"/>
      <c r="D99" s="281">
        <f>'BALANCE SHEET'!C18</f>
        <v>1.04</v>
      </c>
      <c r="E99" s="279">
        <f>'BALANCE SHEET'!D18</f>
        <v>3.43</v>
      </c>
      <c r="F99" s="279">
        <f>'BALANCE SHEET'!E18</f>
        <v>8.69</v>
      </c>
      <c r="G99" s="279">
        <f>'BALANCE SHEET'!F18</f>
        <v>439.86</v>
      </c>
      <c r="H99" s="280">
        <f>'BALANCE SHEET'!G18</f>
        <v>115.36</v>
      </c>
      <c r="I99" s="281">
        <f>SUM(I97:I98)</f>
        <v>350.36</v>
      </c>
      <c r="J99" s="279">
        <f>SUM(J97:J98)</f>
        <v>400.36</v>
      </c>
      <c r="K99" s="279">
        <f>SUM(K97:K98)</f>
        <v>350.36</v>
      </c>
      <c r="L99" s="279">
        <f>SUM(L97:L98)</f>
        <v>200.36</v>
      </c>
      <c r="M99" s="280">
        <f>SUM(M97:M98)</f>
        <v>50.360000000000014</v>
      </c>
      <c r="O99" s="229"/>
    </row>
    <row r="100" spans="1:35" ht="14.25" customHeight="1" x14ac:dyDescent="0.3">
      <c r="B100" s="343"/>
      <c r="C100" s="341"/>
      <c r="D100" s="198"/>
      <c r="H100" s="104"/>
      <c r="I100" s="103"/>
      <c r="M100" s="104"/>
      <c r="O100" s="148"/>
    </row>
    <row r="101" spans="1:35" ht="14.25" customHeight="1" x14ac:dyDescent="0.3">
      <c r="B101" s="338" t="s">
        <v>404</v>
      </c>
      <c r="C101" s="339"/>
      <c r="D101" s="198"/>
      <c r="H101" s="104"/>
      <c r="I101" s="103"/>
      <c r="M101" s="104"/>
      <c r="O101" s="148"/>
    </row>
    <row r="102" spans="1:35" ht="14.25" customHeight="1" x14ac:dyDescent="0.3">
      <c r="B102" s="340" t="s">
        <v>405</v>
      </c>
      <c r="C102" s="341"/>
      <c r="D102" s="259"/>
      <c r="E102" s="239">
        <f t="shared" ref="E102:M102" si="19">D104</f>
        <v>423.61</v>
      </c>
      <c r="F102" s="239">
        <f t="shared" si="19"/>
        <v>446.83000000000004</v>
      </c>
      <c r="G102" s="239">
        <f t="shared" si="19"/>
        <v>450.1</v>
      </c>
      <c r="H102" s="240">
        <f t="shared" si="19"/>
        <v>599.79</v>
      </c>
      <c r="I102" s="238">
        <f t="shared" si="19"/>
        <v>678.26</v>
      </c>
      <c r="J102" s="239">
        <f t="shared" si="19"/>
        <v>776.24008174045025</v>
      </c>
      <c r="K102" s="239">
        <f t="shared" si="19"/>
        <v>763.00122982683979</v>
      </c>
      <c r="L102" s="239">
        <f t="shared" si="19"/>
        <v>753.91835078359156</v>
      </c>
      <c r="M102" s="240">
        <f t="shared" si="19"/>
        <v>748.28507914370539</v>
      </c>
      <c r="O102" s="148"/>
    </row>
    <row r="103" spans="1:35" ht="54.75" customHeight="1" x14ac:dyDescent="0.3">
      <c r="B103" s="340" t="s">
        <v>406</v>
      </c>
      <c r="C103" s="341"/>
      <c r="D103" s="259"/>
      <c r="E103" s="239">
        <f>-'INCOME STATEMENT'!D56</f>
        <v>23.22</v>
      </c>
      <c r="F103" s="239">
        <f>-'INCOME STATEMENT'!E56</f>
        <v>3.27</v>
      </c>
      <c r="G103" s="239">
        <f>-'INCOME STATEMENT'!F56</f>
        <v>149.69</v>
      </c>
      <c r="H103" s="240">
        <f>-'INCOME STATEMENT'!G56</f>
        <v>78.47</v>
      </c>
      <c r="I103" s="238">
        <f>(I121+I138-I122-I139)*0.2517</f>
        <v>97.980081740450217</v>
      </c>
      <c r="J103" s="239">
        <f>(J121+J138-J122-J139)*0.2517</f>
        <v>-13.238851913610507</v>
      </c>
      <c r="K103" s="239">
        <f>(K121+K138-K122-K139)*0.2517</f>
        <v>-9.0828790432482531</v>
      </c>
      <c r="L103" s="239">
        <f>(L121+L138-L122-L139)*0.2517</f>
        <v>-5.6332716398861615</v>
      </c>
      <c r="M103" s="240">
        <f>(M121+M138-M122-M139)*0.2517</f>
        <v>1.6468599634381238</v>
      </c>
      <c r="O103" s="222" t="s">
        <v>407</v>
      </c>
    </row>
    <row r="104" spans="1:35" ht="14.25" customHeight="1" x14ac:dyDescent="0.3">
      <c r="B104" s="338" t="s">
        <v>408</v>
      </c>
      <c r="C104" s="339"/>
      <c r="D104" s="238">
        <f>'BALANCE SHEET'!C16</f>
        <v>423.61</v>
      </c>
      <c r="E104" s="239">
        <f t="shared" ref="E104:M104" si="20">SUM(E102:E103)</f>
        <v>446.83000000000004</v>
      </c>
      <c r="F104" s="239">
        <f t="shared" si="20"/>
        <v>450.1</v>
      </c>
      <c r="G104" s="239">
        <f t="shared" si="20"/>
        <v>599.79</v>
      </c>
      <c r="H104" s="240">
        <f t="shared" si="20"/>
        <v>678.26</v>
      </c>
      <c r="I104" s="238">
        <f t="shared" si="20"/>
        <v>776.24008174045025</v>
      </c>
      <c r="J104" s="239">
        <f t="shared" si="20"/>
        <v>763.00122982683979</v>
      </c>
      <c r="K104" s="239">
        <f t="shared" si="20"/>
        <v>753.91835078359156</v>
      </c>
      <c r="L104" s="239">
        <f t="shared" si="20"/>
        <v>748.28507914370539</v>
      </c>
      <c r="M104" s="240">
        <f t="shared" si="20"/>
        <v>749.93193910714353</v>
      </c>
      <c r="O104" s="148"/>
    </row>
    <row r="105" spans="1:35" s="223" customFormat="1" ht="14.25" customHeight="1" x14ac:dyDescent="0.3">
      <c r="A105" s="230"/>
      <c r="B105" s="231" t="s">
        <v>237</v>
      </c>
      <c r="C105" s="232"/>
      <c r="D105" s="268"/>
      <c r="E105" s="284">
        <f>ROUNDDOWN(E104-'BALANCE SHEET'!D16,0)</f>
        <v>0</v>
      </c>
      <c r="F105" s="284">
        <f>ROUNDDOWN(F104-'BALANCE SHEET'!E16,0)</f>
        <v>0</v>
      </c>
      <c r="G105" s="284">
        <f>ROUNDDOWN(G104-'BALANCE SHEET'!F16,0)</f>
        <v>0</v>
      </c>
      <c r="H105" s="285">
        <f>ROUNDDOWN(H104-'BALANCE SHEET'!G16,0)</f>
        <v>0</v>
      </c>
      <c r="I105" s="286">
        <f>ROUNDDOWN(I104-'BALANCE SHEET'!H16,0)</f>
        <v>0</v>
      </c>
      <c r="J105" s="284">
        <f>ROUNDDOWN(J104-'BALANCE SHEET'!I16,0)</f>
        <v>0</v>
      </c>
      <c r="K105" s="284">
        <f>ROUNDDOWN(K104-'BALANCE SHEET'!J16,0)</f>
        <v>0</v>
      </c>
      <c r="L105" s="284">
        <f>ROUNDDOWN(L104-'BALANCE SHEET'!K16,0)</f>
        <v>0</v>
      </c>
      <c r="M105" s="285">
        <f>ROUNDDOWN(M104-'BALANCE SHEET'!L16,0)</f>
        <v>0</v>
      </c>
      <c r="N105" s="236"/>
      <c r="O105" s="237"/>
      <c r="P105" s="230"/>
      <c r="Q105" s="230"/>
      <c r="R105" s="230"/>
      <c r="S105" s="230"/>
      <c r="T105" s="230"/>
      <c r="U105" s="230"/>
      <c r="V105" s="230"/>
      <c r="W105" s="230"/>
      <c r="X105" s="230"/>
      <c r="Y105" s="230"/>
      <c r="Z105" s="230"/>
      <c r="AA105" s="230"/>
      <c r="AB105" s="230"/>
      <c r="AC105" s="230"/>
      <c r="AD105" s="230"/>
      <c r="AE105" s="230"/>
      <c r="AF105" s="230"/>
      <c r="AG105" s="230"/>
      <c r="AH105" s="230"/>
      <c r="AI105" s="230"/>
    </row>
    <row r="106" spans="1:35" ht="14.25" customHeight="1" x14ac:dyDescent="0.3">
      <c r="B106" s="343"/>
      <c r="C106" s="341"/>
      <c r="D106" s="198"/>
      <c r="H106" s="104"/>
      <c r="I106" s="103"/>
      <c r="M106" s="104"/>
      <c r="O106" s="148"/>
    </row>
    <row r="107" spans="1:35" ht="14.25" customHeight="1" x14ac:dyDescent="0.3">
      <c r="B107" s="338" t="s">
        <v>221</v>
      </c>
      <c r="C107" s="339"/>
      <c r="D107" s="198"/>
      <c r="H107" s="104"/>
      <c r="I107" s="103"/>
      <c r="M107" s="104"/>
      <c r="O107" s="148"/>
    </row>
    <row r="108" spans="1:35" ht="14.25" customHeight="1" x14ac:dyDescent="0.3">
      <c r="B108" s="344"/>
      <c r="C108" s="339"/>
      <c r="D108" s="198"/>
      <c r="H108" s="104"/>
      <c r="I108" s="103"/>
      <c r="M108" s="104"/>
      <c r="O108" s="148"/>
    </row>
    <row r="109" spans="1:35" ht="14.25" customHeight="1" x14ac:dyDescent="0.3">
      <c r="B109" s="338" t="s">
        <v>409</v>
      </c>
      <c r="C109" s="339"/>
      <c r="D109" s="198"/>
      <c r="H109" s="104"/>
      <c r="I109" s="103"/>
      <c r="M109" s="104"/>
      <c r="O109" s="148"/>
    </row>
    <row r="110" spans="1:35" ht="14.25" customHeight="1" x14ac:dyDescent="0.3">
      <c r="B110" s="340" t="s">
        <v>410</v>
      </c>
      <c r="C110" s="341"/>
      <c r="D110" s="259"/>
      <c r="E110" s="239">
        <f t="shared" ref="E110:M110" si="21">D116</f>
        <v>198.17</v>
      </c>
      <c r="F110" s="239">
        <f t="shared" si="21"/>
        <v>203.85947463483586</v>
      </c>
      <c r="G110" s="239">
        <f t="shared" si="21"/>
        <v>197.01948653129563</v>
      </c>
      <c r="H110" s="240">
        <f t="shared" si="21"/>
        <v>212.65317557474671</v>
      </c>
      <c r="I110" s="238">
        <f t="shared" si="21"/>
        <v>228.97333240204017</v>
      </c>
      <c r="J110" s="239">
        <f t="shared" si="21"/>
        <v>232.38459768639879</v>
      </c>
      <c r="K110" s="239">
        <f t="shared" si="21"/>
        <v>235.22201525611578</v>
      </c>
      <c r="L110" s="239">
        <f t="shared" si="21"/>
        <v>238.74439765511289</v>
      </c>
      <c r="M110" s="240">
        <f t="shared" si="21"/>
        <v>243.0032244407187</v>
      </c>
      <c r="O110" s="148"/>
    </row>
    <row r="111" spans="1:35" ht="81.75" customHeight="1" x14ac:dyDescent="0.3">
      <c r="B111" s="340" t="s">
        <v>411</v>
      </c>
      <c r="C111" s="342" t="s">
        <v>412</v>
      </c>
      <c r="D111" s="259"/>
      <c r="E111" s="239">
        <v>41.74</v>
      </c>
      <c r="F111" s="239">
        <v>39.020000000000003</v>
      </c>
      <c r="G111" s="239">
        <v>36.380000000000003</v>
      </c>
      <c r="H111" s="240">
        <v>35.340000000000003</v>
      </c>
      <c r="I111" s="238">
        <v>35.299999999999997</v>
      </c>
      <c r="J111" s="239">
        <v>34.32</v>
      </c>
      <c r="K111" s="239">
        <v>33.31</v>
      </c>
      <c r="L111" s="239">
        <v>32.28</v>
      </c>
      <c r="M111" s="240">
        <v>31.24</v>
      </c>
      <c r="O111" s="222" t="s">
        <v>413</v>
      </c>
    </row>
    <row r="112" spans="1:35" ht="41.25" customHeight="1" x14ac:dyDescent="0.3">
      <c r="B112" s="340" t="s">
        <v>414</v>
      </c>
      <c r="C112" s="341"/>
      <c r="D112" s="259"/>
      <c r="E112" s="239">
        <f>'INCOME STATEMENT'!D99*('BALANCE SHEET'!D53/('BALANCE SHEET'!D53+'BALANCE SHEET'!D68))</f>
        <v>57.160525365164126</v>
      </c>
      <c r="F112" s="239">
        <f>'INCOME STATEMENT'!E99*('BALANCE SHEET'!E53/('BALANCE SHEET'!E53+'BALANCE SHEET'!E68))</f>
        <v>59.969988103540224</v>
      </c>
      <c r="G112" s="239">
        <f>'INCOME STATEMENT'!F99*('BALANCE SHEET'!F53/('BALANCE SHEET'!F53+'BALANCE SHEET'!F68))</f>
        <v>45.526310956548919</v>
      </c>
      <c r="H112" s="240">
        <f>'INCOME STATEMENT'!G99*('BALANCE SHEET'!G53/('BALANCE SHEET'!G53+'BALANCE SHEET'!G68))</f>
        <v>33.109843172706547</v>
      </c>
      <c r="I112" s="238">
        <f>'INCOME STATEMENT'!H99*I113</f>
        <v>29.425401382308078</v>
      </c>
      <c r="J112" s="239">
        <f>'INCOME STATEMENT'!I99*J113</f>
        <v>28.224804652505242</v>
      </c>
      <c r="K112" s="239">
        <f>'INCOME STATEMENT'!J99*K113</f>
        <v>26.963913897299179</v>
      </c>
      <c r="L112" s="239">
        <f>'INCOME STATEMENT'!K99*L113</f>
        <v>25.17290160945597</v>
      </c>
      <c r="M112" s="240">
        <f>'INCOME STATEMENT'!L99*M113</f>
        <v>23.895665771420258</v>
      </c>
      <c r="O112" s="222" t="s">
        <v>415</v>
      </c>
    </row>
    <row r="113" spans="1:35" s="185" customFormat="1" ht="41.25" customHeight="1" x14ac:dyDescent="0.3">
      <c r="B113" s="345" t="s">
        <v>416</v>
      </c>
      <c r="C113" s="306" t="s">
        <v>313</v>
      </c>
      <c r="D113" s="188"/>
      <c r="E113" s="346">
        <f>E112/'INCOME STATEMENT'!D99</f>
        <v>0.80045547353541702</v>
      </c>
      <c r="F113" s="346">
        <f>F112/'INCOME STATEMENT'!E99</f>
        <v>0.80822086392911352</v>
      </c>
      <c r="G113" s="346">
        <f>G112/'INCOME STATEMENT'!F99</f>
        <v>0.83092372616442634</v>
      </c>
      <c r="H113" s="347">
        <f>H112/'INCOME STATEMENT'!G99</f>
        <v>0.89996855593113745</v>
      </c>
      <c r="I113" s="348">
        <f>AVERAGE(F113:H113)</f>
        <v>0.84637104867489243</v>
      </c>
      <c r="J113" s="346">
        <f>AVERAGE(G113:I113)</f>
        <v>0.85908777692348537</v>
      </c>
      <c r="K113" s="346">
        <f>AVERAGE(H113:J113)</f>
        <v>0.86847579384317175</v>
      </c>
      <c r="L113" s="346">
        <f>AVERAGE(I113:K113)</f>
        <v>0.85797820648051648</v>
      </c>
      <c r="M113" s="347">
        <f>AVERAGE(J113:L113)</f>
        <v>0.86184725908239113</v>
      </c>
      <c r="O113" s="308" t="s">
        <v>417</v>
      </c>
    </row>
    <row r="114" spans="1:35" ht="14.25" customHeight="1" x14ac:dyDescent="0.3">
      <c r="B114" s="340" t="s">
        <v>418</v>
      </c>
      <c r="C114" s="341"/>
      <c r="D114" s="259"/>
      <c r="E114" s="239">
        <f>'INCOME STATEMENT'!D97</f>
        <v>-4.0599999999999996</v>
      </c>
      <c r="F114" s="239">
        <f>'INCOME STATEMENT'!E97</f>
        <v>-0.08</v>
      </c>
      <c r="G114" s="239">
        <f>'INCOME STATEMENT'!F97</f>
        <v>-4.5599999999999996</v>
      </c>
      <c r="H114" s="240">
        <f>'INCOME STATEMENT'!G97</f>
        <v>-2.75</v>
      </c>
      <c r="I114" s="238">
        <f>'INCOME STATEMENT'!H97</f>
        <v>-2.4633333333333334</v>
      </c>
      <c r="J114" s="239">
        <f>'INCOME STATEMENT'!I97</f>
        <v>-3.2577777777777777</v>
      </c>
      <c r="K114" s="239">
        <f>'INCOME STATEMENT'!J97</f>
        <v>-2.8237037037037034</v>
      </c>
      <c r="L114" s="239">
        <f>'INCOME STATEMENT'!K97</f>
        <v>-2.848271604938271</v>
      </c>
      <c r="M114" s="240">
        <f>'INCOME STATEMENT'!L97</f>
        <v>-2.9765843621399171</v>
      </c>
      <c r="O114" s="148"/>
    </row>
    <row r="115" spans="1:35" ht="41.25" customHeight="1" x14ac:dyDescent="0.3">
      <c r="B115" s="340" t="s">
        <v>419</v>
      </c>
      <c r="C115" s="341"/>
      <c r="D115" s="259"/>
      <c r="E115" s="239">
        <v>25.17</v>
      </c>
      <c r="F115" s="239">
        <v>14.19</v>
      </c>
      <c r="G115" s="239">
        <v>29.34</v>
      </c>
      <c r="H115" s="240">
        <v>16.84</v>
      </c>
      <c r="I115" s="238">
        <v>0</v>
      </c>
      <c r="J115" s="239">
        <v>0</v>
      </c>
      <c r="K115" s="239">
        <v>0</v>
      </c>
      <c r="L115" s="239">
        <v>0</v>
      </c>
      <c r="M115" s="240">
        <v>0</v>
      </c>
      <c r="O115" s="222" t="s">
        <v>420</v>
      </c>
    </row>
    <row r="116" spans="1:35" ht="14.25" customHeight="1" x14ac:dyDescent="0.3">
      <c r="B116" s="338" t="s">
        <v>421</v>
      </c>
      <c r="C116" s="339"/>
      <c r="D116" s="238">
        <f>'BALANCE SHEET'!C53</f>
        <v>198.17</v>
      </c>
      <c r="E116" s="239">
        <f t="shared" ref="E116:M116" si="22">SUM(E110:E111,E114,-E112,E115)</f>
        <v>203.85947463483586</v>
      </c>
      <c r="F116" s="239">
        <f t="shared" si="22"/>
        <v>197.01948653129563</v>
      </c>
      <c r="G116" s="239">
        <f t="shared" si="22"/>
        <v>212.65317557474671</v>
      </c>
      <c r="H116" s="240">
        <f t="shared" si="22"/>
        <v>228.97333240204017</v>
      </c>
      <c r="I116" s="238">
        <f t="shared" si="22"/>
        <v>232.38459768639879</v>
      </c>
      <c r="J116" s="239">
        <f t="shared" si="22"/>
        <v>235.22201525611578</v>
      </c>
      <c r="K116" s="239">
        <f t="shared" si="22"/>
        <v>238.74439765511289</v>
      </c>
      <c r="L116" s="239">
        <f t="shared" si="22"/>
        <v>243.0032244407187</v>
      </c>
      <c r="M116" s="240">
        <f t="shared" si="22"/>
        <v>247.37097430715849</v>
      </c>
      <c r="O116" s="148"/>
    </row>
    <row r="117" spans="1:35" s="223" customFormat="1" ht="14.25" customHeight="1" x14ac:dyDescent="0.3">
      <c r="A117" s="230"/>
      <c r="B117" s="231" t="s">
        <v>237</v>
      </c>
      <c r="C117" s="232"/>
      <c r="D117" s="268"/>
      <c r="E117" s="284">
        <f>ROUNDDOWN(E116-'BALANCE SHEET'!D53,0)</f>
        <v>0</v>
      </c>
      <c r="F117" s="284">
        <f>ROUNDDOWN(F116-'BALANCE SHEET'!E53,0)</f>
        <v>0</v>
      </c>
      <c r="G117" s="284">
        <f>ROUNDDOWN(G116-'BALANCE SHEET'!F53,0)</f>
        <v>0</v>
      </c>
      <c r="H117" s="285">
        <f>ROUNDDOWN(H116-'BALANCE SHEET'!G53,0)</f>
        <v>0</v>
      </c>
      <c r="I117" s="286">
        <f>ROUNDDOWN(I116-'BALANCE SHEET'!H53,0)</f>
        <v>0</v>
      </c>
      <c r="J117" s="284">
        <f>ROUNDDOWN(J116-'BALANCE SHEET'!I53,0)</f>
        <v>0</v>
      </c>
      <c r="K117" s="284">
        <f>ROUNDDOWN(K116-'BALANCE SHEET'!J53,0)</f>
        <v>0</v>
      </c>
      <c r="L117" s="284">
        <f>ROUNDDOWN(L116-'BALANCE SHEET'!K53,0)</f>
        <v>0</v>
      </c>
      <c r="M117" s="285">
        <f>ROUNDDOWN(M116-'BALANCE SHEET'!L53,0)</f>
        <v>0</v>
      </c>
      <c r="N117" s="236"/>
      <c r="O117" s="237"/>
      <c r="P117" s="230"/>
      <c r="Q117" s="230"/>
      <c r="R117" s="230"/>
      <c r="S117" s="230"/>
      <c r="T117" s="230"/>
      <c r="U117" s="230"/>
      <c r="V117" s="230"/>
      <c r="W117" s="230"/>
      <c r="X117" s="230"/>
      <c r="Y117" s="230"/>
      <c r="Z117" s="230"/>
      <c r="AA117" s="230"/>
      <c r="AB117" s="230"/>
      <c r="AC117" s="230"/>
      <c r="AD117" s="230"/>
      <c r="AE117" s="230"/>
      <c r="AF117" s="230"/>
      <c r="AG117" s="230"/>
      <c r="AH117" s="230"/>
      <c r="AI117" s="230"/>
    </row>
    <row r="118" spans="1:35" s="223" customFormat="1" ht="14.25" customHeight="1" x14ac:dyDescent="0.3">
      <c r="B118" s="349"/>
      <c r="C118" s="187"/>
      <c r="D118" s="103"/>
      <c r="E118" s="282"/>
      <c r="F118" s="282"/>
      <c r="G118" s="282"/>
      <c r="H118" s="350"/>
      <c r="I118" s="351"/>
      <c r="J118" s="282"/>
      <c r="K118" s="282"/>
      <c r="L118" s="282"/>
      <c r="M118" s="350"/>
      <c r="N118" s="236"/>
      <c r="O118" s="229"/>
    </row>
    <row r="119" spans="1:35" ht="14.25" customHeight="1" x14ac:dyDescent="0.3">
      <c r="B119" s="338" t="s">
        <v>422</v>
      </c>
      <c r="C119" s="339"/>
      <c r="D119" s="198"/>
      <c r="H119" s="104"/>
      <c r="I119" s="103"/>
      <c r="M119" s="104"/>
      <c r="O119" s="148"/>
    </row>
    <row r="120" spans="1:35" ht="14.25" customHeight="1" x14ac:dyDescent="0.3">
      <c r="B120" s="340" t="s">
        <v>423</v>
      </c>
      <c r="C120" s="341"/>
      <c r="D120" s="259"/>
      <c r="E120" s="239">
        <f t="shared" ref="E120:M120" si="23">D123</f>
        <v>531.99</v>
      </c>
      <c r="F120" s="239">
        <f t="shared" si="23"/>
        <v>360.86</v>
      </c>
      <c r="G120" s="239">
        <f t="shared" si="23"/>
        <v>214.89000000000004</v>
      </c>
      <c r="H120" s="240">
        <f t="shared" si="23"/>
        <v>218.44000000000005</v>
      </c>
      <c r="I120" s="238">
        <f t="shared" si="23"/>
        <v>559.83000000000004</v>
      </c>
      <c r="J120" s="239">
        <f t="shared" si="23"/>
        <v>818.88999999999987</v>
      </c>
      <c r="K120" s="239">
        <f t="shared" si="23"/>
        <v>621.00999999999988</v>
      </c>
      <c r="L120" s="239">
        <f t="shared" si="23"/>
        <v>423.12999999999988</v>
      </c>
      <c r="M120" s="240">
        <f t="shared" si="23"/>
        <v>225.24999999999989</v>
      </c>
      <c r="O120" s="148"/>
    </row>
    <row r="121" spans="1:35" ht="27.75" customHeight="1" x14ac:dyDescent="0.3">
      <c r="B121" s="340" t="s">
        <v>424</v>
      </c>
      <c r="C121" s="341"/>
      <c r="D121" s="259"/>
      <c r="E121" s="239">
        <v>0</v>
      </c>
      <c r="F121" s="239">
        <v>22.41</v>
      </c>
      <c r="G121" s="239">
        <v>3.55</v>
      </c>
      <c r="H121" s="240">
        <v>646.41999999999996</v>
      </c>
      <c r="I121" s="238">
        <v>468</v>
      </c>
      <c r="J121" s="239">
        <v>0</v>
      </c>
      <c r="K121" s="239">
        <v>0</v>
      </c>
      <c r="L121" s="239">
        <v>0</v>
      </c>
      <c r="M121" s="240">
        <v>0</v>
      </c>
      <c r="O121" s="222" t="s">
        <v>425</v>
      </c>
    </row>
    <row r="122" spans="1:35" ht="54.75" customHeight="1" x14ac:dyDescent="0.3">
      <c r="B122" s="340" t="s">
        <v>426</v>
      </c>
      <c r="C122" s="341"/>
      <c r="D122" s="259"/>
      <c r="E122" s="239">
        <v>171.13</v>
      </c>
      <c r="F122" s="239">
        <v>168.38</v>
      </c>
      <c r="G122" s="239">
        <v>0</v>
      </c>
      <c r="H122" s="240">
        <v>305.02999999999997</v>
      </c>
      <c r="I122" s="238">
        <v>208.94</v>
      </c>
      <c r="J122" s="239">
        <v>197.88</v>
      </c>
      <c r="K122" s="239">
        <v>197.88</v>
      </c>
      <c r="L122" s="239">
        <v>197.88</v>
      </c>
      <c r="M122" s="240">
        <v>197.88</v>
      </c>
      <c r="O122" s="222" t="s">
        <v>427</v>
      </c>
    </row>
    <row r="123" spans="1:35" ht="14.25" customHeight="1" x14ac:dyDescent="0.3">
      <c r="B123" s="338" t="s">
        <v>428</v>
      </c>
      <c r="C123" s="339"/>
      <c r="D123" s="238">
        <f>'BALANCE SHEET'!C54</f>
        <v>531.99</v>
      </c>
      <c r="E123" s="239">
        <f t="shared" ref="E123:M123" si="24">SUM(E120:E121,-E122)</f>
        <v>360.86</v>
      </c>
      <c r="F123" s="239">
        <f t="shared" si="24"/>
        <v>214.89000000000004</v>
      </c>
      <c r="G123" s="239">
        <f t="shared" si="24"/>
        <v>218.44000000000005</v>
      </c>
      <c r="H123" s="240">
        <f t="shared" si="24"/>
        <v>559.83000000000004</v>
      </c>
      <c r="I123" s="238">
        <f t="shared" si="24"/>
        <v>818.88999999999987</v>
      </c>
      <c r="J123" s="239">
        <f t="shared" si="24"/>
        <v>621.00999999999988</v>
      </c>
      <c r="K123" s="239">
        <f t="shared" si="24"/>
        <v>423.12999999999988</v>
      </c>
      <c r="L123" s="239">
        <f t="shared" si="24"/>
        <v>225.24999999999989</v>
      </c>
      <c r="M123" s="240">
        <f t="shared" si="24"/>
        <v>27.369999999999891</v>
      </c>
      <c r="O123" s="148"/>
    </row>
    <row r="124" spans="1:35" ht="14.25" customHeight="1" x14ac:dyDescent="0.3">
      <c r="B124" s="343"/>
      <c r="C124" s="341"/>
      <c r="D124" s="198"/>
      <c r="H124" s="104"/>
      <c r="I124" s="103"/>
      <c r="M124" s="104"/>
      <c r="O124" s="148"/>
    </row>
    <row r="125" spans="1:35" s="223" customFormat="1" ht="14.25" customHeight="1" x14ac:dyDescent="0.3">
      <c r="B125" s="338" t="s">
        <v>429</v>
      </c>
      <c r="C125" s="339"/>
      <c r="D125" s="268"/>
      <c r="E125" s="279">
        <f t="shared" ref="E125:M125" si="25">E116+E123</f>
        <v>564.71947463483593</v>
      </c>
      <c r="F125" s="279">
        <f t="shared" si="25"/>
        <v>411.90948653129567</v>
      </c>
      <c r="G125" s="279">
        <f t="shared" si="25"/>
        <v>431.09317557474674</v>
      </c>
      <c r="H125" s="280">
        <f t="shared" si="25"/>
        <v>788.80333240204027</v>
      </c>
      <c r="I125" s="281">
        <f t="shared" si="25"/>
        <v>1051.2745976863987</v>
      </c>
      <c r="J125" s="279">
        <f t="shared" si="25"/>
        <v>856.23201525611569</v>
      </c>
      <c r="K125" s="279">
        <f t="shared" si="25"/>
        <v>661.87439765511272</v>
      </c>
      <c r="L125" s="279">
        <f t="shared" si="25"/>
        <v>468.25322444071855</v>
      </c>
      <c r="M125" s="280">
        <f t="shared" si="25"/>
        <v>274.74097430715835</v>
      </c>
      <c r="O125" s="229"/>
    </row>
    <row r="126" spans="1:35" ht="14.25" customHeight="1" x14ac:dyDescent="0.3">
      <c r="B126" s="343"/>
      <c r="C126" s="341"/>
      <c r="D126" s="259"/>
      <c r="E126" s="257"/>
      <c r="F126" s="257"/>
      <c r="G126" s="257"/>
      <c r="H126" s="287"/>
      <c r="I126" s="288"/>
      <c r="J126" s="257"/>
      <c r="K126" s="257"/>
      <c r="L126" s="257"/>
      <c r="M126" s="287"/>
      <c r="O126" s="148"/>
    </row>
    <row r="127" spans="1:35" ht="14.25" customHeight="1" x14ac:dyDescent="0.3">
      <c r="B127" s="338" t="s">
        <v>233</v>
      </c>
      <c r="C127" s="339"/>
      <c r="D127" s="259"/>
      <c r="E127" s="257"/>
      <c r="F127" s="257"/>
      <c r="G127" s="257"/>
      <c r="H127" s="287"/>
      <c r="I127" s="288"/>
      <c r="J127" s="257"/>
      <c r="K127" s="257"/>
      <c r="L127" s="257"/>
      <c r="M127" s="287"/>
      <c r="O127" s="148"/>
    </row>
    <row r="128" spans="1:35" ht="14.25" customHeight="1" x14ac:dyDescent="0.3">
      <c r="B128" s="344"/>
      <c r="C128" s="339"/>
      <c r="D128" s="259"/>
      <c r="E128" s="257"/>
      <c r="F128" s="257"/>
      <c r="G128" s="257"/>
      <c r="H128" s="287"/>
      <c r="I128" s="288"/>
      <c r="J128" s="257"/>
      <c r="K128" s="257"/>
      <c r="L128" s="257"/>
      <c r="M128" s="287"/>
      <c r="O128" s="148"/>
    </row>
    <row r="129" spans="1:15" ht="14.25" customHeight="1" x14ac:dyDescent="0.3">
      <c r="B129" s="338" t="s">
        <v>430</v>
      </c>
      <c r="C129" s="339"/>
      <c r="D129" s="259"/>
      <c r="E129" s="257"/>
      <c r="F129" s="257"/>
      <c r="G129" s="257"/>
      <c r="H129" s="287"/>
      <c r="I129" s="288"/>
      <c r="J129" s="257"/>
      <c r="K129" s="257"/>
      <c r="L129" s="257"/>
      <c r="M129" s="287"/>
      <c r="O129" s="148"/>
    </row>
    <row r="130" spans="1:15" ht="14.25" customHeight="1" x14ac:dyDescent="0.3">
      <c r="B130" s="340" t="s">
        <v>431</v>
      </c>
      <c r="C130" s="341"/>
      <c r="D130" s="259"/>
      <c r="E130" s="239">
        <f t="shared" ref="E130:M130" si="26">D134</f>
        <v>56.42</v>
      </c>
      <c r="F130" s="239">
        <f t="shared" si="26"/>
        <v>50.82231741793624</v>
      </c>
      <c r="G130" s="239">
        <f t="shared" si="26"/>
        <v>46.835084370391421</v>
      </c>
      <c r="H130" s="240">
        <f t="shared" si="26"/>
        <v>43.809561941507397</v>
      </c>
      <c r="I130" s="238">
        <f t="shared" si="26"/>
        <v>26.270772145107735</v>
      </c>
      <c r="J130" s="239">
        <f t="shared" si="26"/>
        <v>31.910394358874417</v>
      </c>
      <c r="K130" s="239">
        <f t="shared" si="26"/>
        <v>38.210910753686143</v>
      </c>
      <c r="L130" s="239">
        <f t="shared" si="26"/>
        <v>45.001506122121619</v>
      </c>
      <c r="M130" s="240">
        <f t="shared" si="26"/>
        <v>51.762933694634306</v>
      </c>
      <c r="O130" s="148"/>
    </row>
    <row r="131" spans="1:15" ht="68.25" customHeight="1" x14ac:dyDescent="0.3">
      <c r="B131" s="340" t="s">
        <v>432</v>
      </c>
      <c r="C131" s="342" t="s">
        <v>433</v>
      </c>
      <c r="D131" s="259"/>
      <c r="E131" s="239">
        <f>SUM('INCOME STATEMENT'!D16,'INCOME STATEMENT'!D19,'INCOME STATEMENT'!D20)*(1-('BALANCE SHEET'!D53/('BALANCE SHEET'!D53+'BALANCE SHEET'!D68)))</f>
        <v>11.481792052772105</v>
      </c>
      <c r="F131" s="239">
        <f>SUM('INCOME STATEMENT'!E16,'INCOME STATEMENT'!E19,'INCOME STATEMENT'!E20)*(1-('BALANCE SHEET'!E53/('BALANCE SHEET'!E53+'BALANCE SHEET'!E68)))</f>
        <v>11.13277884891496</v>
      </c>
      <c r="G131" s="239">
        <f>SUM('INCOME STATEMENT'!F16,'INCOME STATEMENT'!F19,'INCOME STATEMENT'!F20)*(1-('BALANCE SHEET'!F53/('BALANCE SHEET'!F53+'BALANCE SHEET'!F68)))</f>
        <v>11.098166614567056</v>
      </c>
      <c r="H131" s="240">
        <f>SUM('INCOME STATEMENT'!G16,'INCOME STATEMENT'!G19,'INCOME STATEMENT'!G20)*(1-('BALANCE SHEET'!G53/('BALANCE SHEET'!G53+'BALANCE SHEET'!G68)))</f>
        <v>10.711367030893788</v>
      </c>
      <c r="I131" s="238">
        <f>AVERAGE(F131:H131)</f>
        <v>10.980770831458601</v>
      </c>
      <c r="J131" s="239">
        <f>AVERAGE(G131:I131)</f>
        <v>10.930101492306482</v>
      </c>
      <c r="K131" s="239">
        <f>AVERAGE(H131:J131)</f>
        <v>10.874079784886291</v>
      </c>
      <c r="L131" s="239">
        <f>AVERAGE(I131:K131)</f>
        <v>10.928317369550458</v>
      </c>
      <c r="M131" s="240">
        <f>AVERAGE(J131:L131)</f>
        <v>10.910832882247744</v>
      </c>
      <c r="O131" s="222" t="s">
        <v>434</v>
      </c>
    </row>
    <row r="132" spans="1:15" ht="14.25" customHeight="1" x14ac:dyDescent="0.3">
      <c r="B132" s="340" t="s">
        <v>414</v>
      </c>
      <c r="C132" s="341"/>
      <c r="D132" s="259"/>
      <c r="E132" s="239">
        <f>'INCOME STATEMENT'!D99*(1-('BALANCE SHEET'!D53/('BALANCE SHEET'!D53+'BALANCE SHEET'!D68)))</f>
        <v>14.24947463483587</v>
      </c>
      <c r="F132" s="239">
        <f>'INCOME STATEMENT'!E99*(1-('BALANCE SHEET'!E53/('BALANCE SHEET'!E53+'BALANCE SHEET'!E68)))</f>
        <v>14.230011896459777</v>
      </c>
      <c r="G132" s="239">
        <f>'INCOME STATEMENT'!F99*(1-('BALANCE SHEET'!F53/('BALANCE SHEET'!F53+'BALANCE SHEET'!F68)))</f>
        <v>9.2636890434510804</v>
      </c>
      <c r="H132" s="240">
        <f>'INCOME STATEMENT'!G99*(1-('BALANCE SHEET'!G53/('BALANCE SHEET'!G53+'BALANCE SHEET'!G68)))</f>
        <v>3.6801568272934491</v>
      </c>
      <c r="I132" s="238">
        <f>'INCOME STATEMENT'!H99*(1-I113)</f>
        <v>5.3411486176919176</v>
      </c>
      <c r="J132" s="239">
        <f>'INCOME STATEMENT'!I99*(1-J113)</f>
        <v>4.629585097494755</v>
      </c>
      <c r="K132" s="239">
        <f>'INCOME STATEMENT'!J99*(1-K113)</f>
        <v>4.0834844164508164</v>
      </c>
      <c r="L132" s="239">
        <f>'INCOME STATEMENT'!K99*(1-L113)</f>
        <v>4.1668897970377712</v>
      </c>
      <c r="M132" s="240">
        <f>'INCOME STATEMENT'!L99*(1-M113)</f>
        <v>3.830437107716326</v>
      </c>
      <c r="O132" s="222" t="s">
        <v>435</v>
      </c>
    </row>
    <row r="133" spans="1:15" ht="14.25" customHeight="1" x14ac:dyDescent="0.3">
      <c r="B133" s="340" t="s">
        <v>419</v>
      </c>
      <c r="C133" s="341"/>
      <c r="D133" s="259"/>
      <c r="E133" s="239">
        <v>-2.83</v>
      </c>
      <c r="F133" s="239">
        <v>-0.89</v>
      </c>
      <c r="G133" s="239">
        <v>-4.8600000000000003</v>
      </c>
      <c r="H133" s="240">
        <v>-24.57</v>
      </c>
      <c r="I133" s="238">
        <v>0</v>
      </c>
      <c r="J133" s="239">
        <v>0</v>
      </c>
      <c r="K133" s="239">
        <v>0</v>
      </c>
      <c r="L133" s="239">
        <v>0</v>
      </c>
      <c r="M133" s="240">
        <v>0</v>
      </c>
      <c r="O133" s="222" t="s">
        <v>436</v>
      </c>
    </row>
    <row r="134" spans="1:15" ht="14.25" customHeight="1" x14ac:dyDescent="0.3">
      <c r="B134" s="338" t="s">
        <v>437</v>
      </c>
      <c r="C134" s="339"/>
      <c r="D134" s="238">
        <f>'BALANCE SHEET'!C68</f>
        <v>56.42</v>
      </c>
      <c r="E134" s="239">
        <f t="shared" ref="E134:M134" si="27">E130+E131-E132+E133</f>
        <v>50.82231741793624</v>
      </c>
      <c r="F134" s="239">
        <f t="shared" si="27"/>
        <v>46.835084370391421</v>
      </c>
      <c r="G134" s="239">
        <f t="shared" si="27"/>
        <v>43.809561941507397</v>
      </c>
      <c r="H134" s="240">
        <f t="shared" si="27"/>
        <v>26.270772145107735</v>
      </c>
      <c r="I134" s="238">
        <f t="shared" si="27"/>
        <v>31.910394358874417</v>
      </c>
      <c r="J134" s="239">
        <f t="shared" si="27"/>
        <v>38.210910753686143</v>
      </c>
      <c r="K134" s="239">
        <f t="shared" si="27"/>
        <v>45.001506122121619</v>
      </c>
      <c r="L134" s="239">
        <f t="shared" si="27"/>
        <v>51.762933694634306</v>
      </c>
      <c r="M134" s="240">
        <f t="shared" si="27"/>
        <v>58.843329469165724</v>
      </c>
      <c r="O134" s="148"/>
    </row>
    <row r="135" spans="1:15" ht="14.25" customHeight="1" x14ac:dyDescent="0.3">
      <c r="B135" s="343"/>
      <c r="C135" s="341"/>
      <c r="D135" s="259"/>
      <c r="E135" s="257"/>
      <c r="F135" s="257"/>
      <c r="G135" s="257"/>
      <c r="H135" s="287"/>
      <c r="I135" s="288"/>
      <c r="J135" s="257"/>
      <c r="K135" s="257"/>
      <c r="L135" s="257"/>
      <c r="M135" s="287"/>
      <c r="O135" s="148"/>
    </row>
    <row r="136" spans="1:15" ht="14.25" customHeight="1" x14ac:dyDescent="0.3">
      <c r="B136" s="338" t="s">
        <v>438</v>
      </c>
      <c r="C136" s="339"/>
      <c r="D136" s="259"/>
      <c r="E136" s="257"/>
      <c r="F136" s="257"/>
      <c r="G136" s="257"/>
      <c r="H136" s="287"/>
      <c r="I136" s="288"/>
      <c r="J136" s="257"/>
      <c r="K136" s="257"/>
      <c r="L136" s="257"/>
      <c r="M136" s="287"/>
      <c r="O136" s="148"/>
    </row>
    <row r="137" spans="1:15" ht="14.25" customHeight="1" x14ac:dyDescent="0.3">
      <c r="B137" s="340" t="s">
        <v>439</v>
      </c>
      <c r="C137" s="341"/>
      <c r="D137" s="259"/>
      <c r="E137" s="239">
        <f t="shared" ref="E137:M137" si="28">D140</f>
        <v>13.85</v>
      </c>
      <c r="F137" s="239">
        <f t="shared" si="28"/>
        <v>63.85</v>
      </c>
      <c r="G137" s="239">
        <f t="shared" si="28"/>
        <v>127.38</v>
      </c>
      <c r="H137" s="240">
        <f t="shared" si="28"/>
        <v>148.14999999999998</v>
      </c>
      <c r="I137" s="238">
        <f t="shared" si="28"/>
        <v>274.77999999999997</v>
      </c>
      <c r="J137" s="239">
        <f t="shared" si="28"/>
        <v>404.99326873440685</v>
      </c>
      <c r="K137" s="239">
        <f t="shared" si="28"/>
        <v>550.27552573237858</v>
      </c>
      <c r="L137" s="239">
        <f t="shared" si="28"/>
        <v>712.06939524668826</v>
      </c>
      <c r="M137" s="240">
        <f t="shared" si="28"/>
        <v>887.56849878309606</v>
      </c>
      <c r="O137" s="148"/>
    </row>
    <row r="138" spans="1:15" ht="27.75" customHeight="1" x14ac:dyDescent="0.3">
      <c r="B138" s="340" t="s">
        <v>424</v>
      </c>
      <c r="C138" s="342" t="s">
        <v>440</v>
      </c>
      <c r="D138" s="259"/>
      <c r="E138" s="239">
        <v>50</v>
      </c>
      <c r="F138" s="239">
        <v>63.53</v>
      </c>
      <c r="G138" s="239">
        <v>88.38</v>
      </c>
      <c r="H138" s="240">
        <v>141.18</v>
      </c>
      <c r="I138" s="238">
        <f>I141*'INCOME STATEMENT'!H12</f>
        <v>130.21326873440688</v>
      </c>
      <c r="J138" s="239">
        <f>J141*'INCOME STATEMENT'!I12</f>
        <v>145.28225699797176</v>
      </c>
      <c r="K138" s="239">
        <f>K141*'INCOME STATEMENT'!J12</f>
        <v>161.79386951430968</v>
      </c>
      <c r="L138" s="239">
        <f>L141*'INCOME STATEMENT'!K12</f>
        <v>175.49910353640777</v>
      </c>
      <c r="M138" s="240">
        <f>M141*'INCOME STATEMENT'!L12</f>
        <v>204.42294780865365</v>
      </c>
      <c r="O138" s="222" t="s">
        <v>441</v>
      </c>
    </row>
    <row r="139" spans="1:15" ht="14.25" customHeight="1" x14ac:dyDescent="0.3">
      <c r="B139" s="340" t="s">
        <v>426</v>
      </c>
      <c r="C139" s="341"/>
      <c r="D139" s="259"/>
      <c r="E139" s="239">
        <v>0</v>
      </c>
      <c r="F139" s="239">
        <v>0</v>
      </c>
      <c r="G139" s="239">
        <v>67.61</v>
      </c>
      <c r="H139" s="240">
        <v>14.55</v>
      </c>
      <c r="I139" s="238">
        <v>0</v>
      </c>
      <c r="J139" s="239">
        <v>0</v>
      </c>
      <c r="K139" s="239">
        <v>0</v>
      </c>
      <c r="L139" s="239">
        <v>0</v>
      </c>
      <c r="M139" s="240">
        <v>0</v>
      </c>
      <c r="O139" s="222" t="s">
        <v>442</v>
      </c>
    </row>
    <row r="140" spans="1:15" ht="14.25" customHeight="1" x14ac:dyDescent="0.3">
      <c r="B140" s="338" t="s">
        <v>443</v>
      </c>
      <c r="C140" s="339"/>
      <c r="D140" s="238">
        <f>'BALANCE SHEET'!C69</f>
        <v>13.85</v>
      </c>
      <c r="E140" s="239">
        <f t="shared" ref="E140:M140" si="29">SUM(E137+E138-E139)</f>
        <v>63.85</v>
      </c>
      <c r="F140" s="239">
        <f t="shared" si="29"/>
        <v>127.38</v>
      </c>
      <c r="G140" s="239">
        <f t="shared" si="29"/>
        <v>148.14999999999998</v>
      </c>
      <c r="H140" s="240">
        <f t="shared" si="29"/>
        <v>274.77999999999997</v>
      </c>
      <c r="I140" s="238">
        <f t="shared" si="29"/>
        <v>404.99326873440685</v>
      </c>
      <c r="J140" s="239">
        <f t="shared" si="29"/>
        <v>550.27552573237858</v>
      </c>
      <c r="K140" s="239">
        <f t="shared" si="29"/>
        <v>712.06939524668826</v>
      </c>
      <c r="L140" s="239">
        <f t="shared" si="29"/>
        <v>887.56849878309606</v>
      </c>
      <c r="M140" s="240">
        <f t="shared" si="29"/>
        <v>1091.9914465917498</v>
      </c>
      <c r="O140" s="148"/>
    </row>
    <row r="141" spans="1:15" ht="27.75" customHeight="1" x14ac:dyDescent="0.3">
      <c r="B141" s="340" t="s">
        <v>444</v>
      </c>
      <c r="C141" s="342" t="s">
        <v>313</v>
      </c>
      <c r="D141" s="259"/>
      <c r="E141" s="352">
        <f>E138/'INCOME STATEMENT'!D12</f>
        <v>1.6013220514857065E-2</v>
      </c>
      <c r="F141" s="352">
        <f>F138/'INCOME STATEMENT'!E12</f>
        <v>1.2962845827220548E-2</v>
      </c>
      <c r="G141" s="352">
        <f>G138/'INCOME STATEMENT'!F12</f>
        <v>1.6174726577941757E-2</v>
      </c>
      <c r="H141" s="353">
        <f>H138/'INCOME STATEMENT'!G12</f>
        <v>2.412640472479698E-2</v>
      </c>
      <c r="I141" s="354">
        <f>AVERAGE(F141:H141)</f>
        <v>1.775465904331976E-2</v>
      </c>
      <c r="J141" s="352">
        <f>AVERAGE(G141:I141)</f>
        <v>1.9351930115352831E-2</v>
      </c>
      <c r="K141" s="352">
        <f>AVERAGE(H141:J141)</f>
        <v>2.0410997961156526E-2</v>
      </c>
      <c r="L141" s="352">
        <f>AVERAGE(I141:K141)</f>
        <v>1.9172529039943039E-2</v>
      </c>
      <c r="M141" s="353">
        <f>AVERAGE(J141:L141)</f>
        <v>1.9645152372150799E-2</v>
      </c>
      <c r="O141" s="222" t="s">
        <v>445</v>
      </c>
    </row>
    <row r="142" spans="1:15" ht="14.25" customHeight="1" x14ac:dyDescent="0.3">
      <c r="B142" s="338" t="s">
        <v>446</v>
      </c>
      <c r="C142" s="339"/>
      <c r="D142" s="259"/>
      <c r="E142" s="239">
        <f t="shared" ref="E142:M142" si="30">E140+E134</f>
        <v>114.67231741793624</v>
      </c>
      <c r="F142" s="239">
        <f t="shared" si="30"/>
        <v>174.21508437039142</v>
      </c>
      <c r="G142" s="239">
        <f t="shared" si="30"/>
        <v>191.95956194150739</v>
      </c>
      <c r="H142" s="240">
        <f t="shared" si="30"/>
        <v>301.05077214510771</v>
      </c>
      <c r="I142" s="238">
        <f t="shared" si="30"/>
        <v>436.9036630932813</v>
      </c>
      <c r="J142" s="239">
        <f t="shared" si="30"/>
        <v>588.48643648606469</v>
      </c>
      <c r="K142" s="239">
        <f t="shared" si="30"/>
        <v>757.07090136880993</v>
      </c>
      <c r="L142" s="239">
        <f t="shared" si="30"/>
        <v>939.33143247773035</v>
      </c>
      <c r="M142" s="240">
        <f t="shared" si="30"/>
        <v>1150.8347760609154</v>
      </c>
      <c r="O142" s="148"/>
    </row>
    <row r="143" spans="1:15" ht="14.25" customHeight="1" x14ac:dyDescent="0.3">
      <c r="B143" s="269"/>
      <c r="C143" s="269"/>
      <c r="D143" s="355"/>
      <c r="E143" s="274"/>
      <c r="F143" s="274"/>
      <c r="G143" s="274"/>
      <c r="H143" s="275"/>
      <c r="I143" s="273"/>
      <c r="J143" s="274"/>
      <c r="K143" s="274"/>
      <c r="L143" s="274"/>
      <c r="M143" s="275"/>
      <c r="O143" s="269"/>
    </row>
    <row r="144" spans="1:15" ht="14.25" customHeight="1" x14ac:dyDescent="0.3">
      <c r="A144" s="178"/>
      <c r="B144" s="179" t="s">
        <v>447</v>
      </c>
      <c r="C144" s="180"/>
      <c r="D144" s="356"/>
      <c r="E144" s="182"/>
      <c r="F144" s="182"/>
      <c r="G144" s="182"/>
      <c r="H144" s="183"/>
      <c r="I144" s="181"/>
      <c r="J144" s="182"/>
      <c r="K144" s="182"/>
      <c r="L144" s="182"/>
      <c r="M144" s="183"/>
      <c r="O144" s="184"/>
    </row>
    <row r="145" spans="1:35" ht="14.25" customHeight="1" x14ac:dyDescent="0.3">
      <c r="B145" s="277"/>
      <c r="C145" s="225"/>
      <c r="D145" s="259"/>
      <c r="H145" s="104"/>
      <c r="I145" s="103"/>
      <c r="M145" s="104"/>
      <c r="O145" s="148"/>
    </row>
    <row r="146" spans="1:35" ht="14.25" customHeight="1" x14ac:dyDescent="0.3">
      <c r="B146" s="201" t="s">
        <v>448</v>
      </c>
      <c r="C146" s="148"/>
      <c r="D146" s="259"/>
      <c r="E146" s="239">
        <f>'BALANCE SHEET'!C12</f>
        <v>6</v>
      </c>
      <c r="F146" s="239">
        <f t="shared" ref="F146:M146" si="31">E150</f>
        <v>6</v>
      </c>
      <c r="G146" s="239">
        <f t="shared" si="31"/>
        <v>6</v>
      </c>
      <c r="H146" s="240">
        <f t="shared" si="31"/>
        <v>6</v>
      </c>
      <c r="I146" s="238">
        <f t="shared" si="31"/>
        <v>6</v>
      </c>
      <c r="J146" s="239">
        <f t="shared" si="31"/>
        <v>6</v>
      </c>
      <c r="K146" s="239">
        <f t="shared" si="31"/>
        <v>6</v>
      </c>
      <c r="L146" s="239">
        <f t="shared" si="31"/>
        <v>6</v>
      </c>
      <c r="M146" s="240">
        <f t="shared" si="31"/>
        <v>6</v>
      </c>
      <c r="N146" s="257"/>
      <c r="O146" s="148"/>
    </row>
    <row r="147" spans="1:35" ht="41.25" customHeight="1" x14ac:dyDescent="0.3">
      <c r="B147" s="201" t="s">
        <v>449</v>
      </c>
      <c r="C147" s="278" t="s">
        <v>450</v>
      </c>
      <c r="D147" s="259"/>
      <c r="E147" s="239">
        <f>'INCOME STATEMENT'!D45</f>
        <v>23.36</v>
      </c>
      <c r="F147" s="239">
        <f>'INCOME STATEMENT'!E45</f>
        <v>26.65</v>
      </c>
      <c r="G147" s="239">
        <f>'INCOME STATEMENT'!F45</f>
        <v>36.549999999999997</v>
      </c>
      <c r="H147" s="240">
        <f>'INCOME STATEMENT'!G45</f>
        <v>47.54</v>
      </c>
      <c r="I147" s="238">
        <v>50</v>
      </c>
      <c r="J147" s="239">
        <v>50</v>
      </c>
      <c r="K147" s="239">
        <v>50</v>
      </c>
      <c r="L147" s="239">
        <v>50</v>
      </c>
      <c r="M147" s="240">
        <v>50</v>
      </c>
      <c r="N147" s="257"/>
      <c r="O147" s="222" t="s">
        <v>451</v>
      </c>
    </row>
    <row r="148" spans="1:35" ht="14.25" customHeight="1" x14ac:dyDescent="0.3">
      <c r="B148" s="201" t="s">
        <v>452</v>
      </c>
      <c r="C148" s="148"/>
      <c r="D148" s="259"/>
      <c r="E148" s="239">
        <f>-'CASH FLOW STATEMENT '!D39</f>
        <v>-23.36</v>
      </c>
      <c r="F148" s="239">
        <f>-'CASH FLOW STATEMENT '!E39</f>
        <v>-26.65</v>
      </c>
      <c r="G148" s="239">
        <f>-'CASH FLOW STATEMENT '!F39</f>
        <v>-36.549999999999997</v>
      </c>
      <c r="H148" s="240">
        <f>-'CASH FLOW STATEMENT '!G39</f>
        <v>-47.54</v>
      </c>
      <c r="I148" s="238">
        <f>-'CASH FLOW STATEMENT '!H39</f>
        <v>-50</v>
      </c>
      <c r="J148" s="239">
        <f>-'CASH FLOW STATEMENT '!I39</f>
        <v>-50</v>
      </c>
      <c r="K148" s="239">
        <f>-'CASH FLOW STATEMENT '!J39</f>
        <v>-50</v>
      </c>
      <c r="L148" s="239">
        <f>-'CASH FLOW STATEMENT '!K39</f>
        <v>-50</v>
      </c>
      <c r="M148" s="240">
        <f>-'CASH FLOW STATEMENT '!L39</f>
        <v>-50</v>
      </c>
      <c r="N148" s="257"/>
      <c r="O148" s="148"/>
    </row>
    <row r="149" spans="1:35" ht="14.25" customHeight="1" x14ac:dyDescent="0.3">
      <c r="B149" s="201" t="s">
        <v>453</v>
      </c>
      <c r="C149" s="148"/>
      <c r="D149" s="259"/>
      <c r="E149" s="239">
        <v>0</v>
      </c>
      <c r="F149" s="239">
        <v>0</v>
      </c>
      <c r="G149" s="239">
        <v>0</v>
      </c>
      <c r="H149" s="240">
        <v>0</v>
      </c>
      <c r="I149" s="238">
        <v>0</v>
      </c>
      <c r="J149" s="239">
        <v>0</v>
      </c>
      <c r="K149" s="239">
        <v>0</v>
      </c>
      <c r="L149" s="239">
        <v>0</v>
      </c>
      <c r="M149" s="240">
        <v>0</v>
      </c>
      <c r="N149" s="257"/>
      <c r="O149" s="222" t="s">
        <v>454</v>
      </c>
    </row>
    <row r="150" spans="1:35" ht="14.25" customHeight="1" x14ac:dyDescent="0.3">
      <c r="A150" s="223"/>
      <c r="B150" s="224" t="s">
        <v>455</v>
      </c>
      <c r="C150" s="225"/>
      <c r="D150" s="259"/>
      <c r="E150" s="279">
        <f t="shared" ref="E150:M150" si="32">SUM(E146:E149)</f>
        <v>6</v>
      </c>
      <c r="F150" s="279">
        <f t="shared" si="32"/>
        <v>6</v>
      </c>
      <c r="G150" s="279">
        <f t="shared" si="32"/>
        <v>6</v>
      </c>
      <c r="H150" s="280">
        <f t="shared" si="32"/>
        <v>6</v>
      </c>
      <c r="I150" s="281">
        <f t="shared" si="32"/>
        <v>6</v>
      </c>
      <c r="J150" s="279">
        <f t="shared" si="32"/>
        <v>6</v>
      </c>
      <c r="K150" s="279">
        <f t="shared" si="32"/>
        <v>6</v>
      </c>
      <c r="L150" s="279">
        <f t="shared" si="32"/>
        <v>6</v>
      </c>
      <c r="M150" s="280">
        <f t="shared" si="32"/>
        <v>6</v>
      </c>
      <c r="N150" s="282"/>
      <c r="O150" s="229"/>
    </row>
    <row r="151" spans="1:35" s="223" customFormat="1" ht="14.25" customHeight="1" x14ac:dyDescent="0.3">
      <c r="A151" s="230"/>
      <c r="B151" s="231" t="s">
        <v>237</v>
      </c>
      <c r="C151" s="232"/>
      <c r="D151" s="259"/>
      <c r="E151" s="284">
        <f>ROUNDDOWN(E150-'BALANCE SHEET'!D12,0)</f>
        <v>0</v>
      </c>
      <c r="F151" s="284">
        <f>ROUNDDOWN(F150-'BALANCE SHEET'!E12,0)</f>
        <v>0</v>
      </c>
      <c r="G151" s="284">
        <f>ROUNDDOWN(G150-'BALANCE SHEET'!F12,0)</f>
        <v>0</v>
      </c>
      <c r="H151" s="285">
        <f>ROUNDDOWN(H150-'BALANCE SHEET'!G12,0)</f>
        <v>0</v>
      </c>
      <c r="I151" s="286">
        <f>ROUNDDOWN(I150-'BALANCE SHEET'!H12,0)</f>
        <v>0</v>
      </c>
      <c r="J151" s="284">
        <f>ROUNDDOWN(J150-'BALANCE SHEET'!I12,0)</f>
        <v>0</v>
      </c>
      <c r="K151" s="284">
        <f>ROUNDDOWN(K150-'BALANCE SHEET'!J12,0)</f>
        <v>0</v>
      </c>
      <c r="L151" s="284">
        <f>ROUNDDOWN(L150-'BALANCE SHEET'!K12,0)</f>
        <v>0</v>
      </c>
      <c r="M151" s="285">
        <f>ROUNDDOWN(M150-'BALANCE SHEET'!L12,0)</f>
        <v>0</v>
      </c>
      <c r="N151" s="282"/>
      <c r="O151" s="237"/>
      <c r="P151" s="230"/>
      <c r="Q151" s="230"/>
      <c r="R151" s="230"/>
      <c r="S151" s="230"/>
      <c r="T151" s="230"/>
      <c r="U151" s="230"/>
      <c r="V151" s="230"/>
      <c r="W151" s="230"/>
      <c r="X151" s="230"/>
      <c r="Y151" s="230"/>
      <c r="Z151" s="230"/>
      <c r="AA151" s="230"/>
      <c r="AB151" s="230"/>
      <c r="AC151" s="230"/>
      <c r="AD151" s="230"/>
      <c r="AE151" s="230"/>
      <c r="AF151" s="230"/>
      <c r="AG151" s="230"/>
      <c r="AH151" s="230"/>
      <c r="AI151" s="230"/>
    </row>
    <row r="152" spans="1:35" ht="14.25" customHeight="1" x14ac:dyDescent="0.3">
      <c r="B152" s="148"/>
      <c r="C152" s="148"/>
      <c r="D152" s="259"/>
      <c r="E152" s="257"/>
      <c r="F152" s="257"/>
      <c r="G152" s="257"/>
      <c r="H152" s="287"/>
      <c r="I152" s="288"/>
      <c r="J152" s="257"/>
      <c r="K152" s="257"/>
      <c r="L152" s="257"/>
      <c r="M152" s="287"/>
      <c r="N152" s="257"/>
      <c r="O152" s="148"/>
    </row>
    <row r="153" spans="1:35" ht="14.25" customHeight="1" x14ac:dyDescent="0.3">
      <c r="B153" s="193" t="s">
        <v>456</v>
      </c>
      <c r="C153" s="194"/>
      <c r="D153" s="259"/>
      <c r="E153" s="357">
        <f t="shared" ref="E153:M153" si="33">ABS(E147/E148)</f>
        <v>1</v>
      </c>
      <c r="F153" s="357">
        <f t="shared" si="33"/>
        <v>1</v>
      </c>
      <c r="G153" s="357">
        <f t="shared" si="33"/>
        <v>1</v>
      </c>
      <c r="H153" s="358">
        <f t="shared" si="33"/>
        <v>1</v>
      </c>
      <c r="I153" s="359">
        <f t="shared" si="33"/>
        <v>1</v>
      </c>
      <c r="J153" s="357">
        <f t="shared" si="33"/>
        <v>1</v>
      </c>
      <c r="K153" s="357">
        <f t="shared" si="33"/>
        <v>1</v>
      </c>
      <c r="L153" s="357">
        <f t="shared" si="33"/>
        <v>1</v>
      </c>
      <c r="M153" s="358">
        <f t="shared" si="33"/>
        <v>1</v>
      </c>
      <c r="N153" s="257"/>
      <c r="O153" s="148"/>
    </row>
    <row r="154" spans="1:35" ht="14.25" customHeight="1" x14ac:dyDescent="0.3">
      <c r="B154" s="269"/>
      <c r="C154" s="269"/>
      <c r="D154" s="355"/>
      <c r="E154" s="274"/>
      <c r="F154" s="274"/>
      <c r="G154" s="274"/>
      <c r="H154" s="275"/>
      <c r="I154" s="273"/>
      <c r="J154" s="274"/>
      <c r="K154" s="274"/>
      <c r="L154" s="274"/>
      <c r="M154" s="275"/>
      <c r="O154" s="269"/>
    </row>
    <row r="155" spans="1:35" ht="14.25" customHeight="1" x14ac:dyDescent="0.3">
      <c r="A155" s="178"/>
      <c r="B155" s="179" t="s">
        <v>457</v>
      </c>
      <c r="C155" s="180"/>
      <c r="D155" s="356"/>
      <c r="E155" s="182"/>
      <c r="F155" s="182"/>
      <c r="G155" s="182"/>
      <c r="H155" s="183"/>
      <c r="I155" s="181"/>
      <c r="J155" s="182"/>
      <c r="K155" s="182"/>
      <c r="L155" s="182"/>
      <c r="M155" s="183"/>
      <c r="O155" s="184"/>
    </row>
    <row r="156" spans="1:35" ht="14.25" customHeight="1" x14ac:dyDescent="0.3">
      <c r="B156" s="277"/>
      <c r="C156" s="225"/>
      <c r="D156" s="259"/>
      <c r="H156" s="104"/>
      <c r="I156" s="103"/>
      <c r="M156" s="104"/>
      <c r="O156" s="148"/>
    </row>
    <row r="157" spans="1:35" ht="14.25" customHeight="1" x14ac:dyDescent="0.3">
      <c r="B157" s="201" t="s">
        <v>458</v>
      </c>
      <c r="C157" s="148"/>
      <c r="D157" s="259"/>
      <c r="E157" s="239">
        <f>'BALANCE SHEET'!C29</f>
        <v>739.91</v>
      </c>
      <c r="F157" s="239">
        <f t="shared" ref="F157:M157" si="34">E169</f>
        <v>720.47</v>
      </c>
      <c r="G157" s="239">
        <f t="shared" si="34"/>
        <v>1868.42</v>
      </c>
      <c r="H157" s="240">
        <f t="shared" si="34"/>
        <v>5218.4799999999996</v>
      </c>
      <c r="I157" s="238">
        <f t="shared" si="34"/>
        <v>5285.39</v>
      </c>
      <c r="J157" s="239">
        <f t="shared" si="34"/>
        <v>1275.6737781665131</v>
      </c>
      <c r="K157" s="239">
        <f t="shared" si="34"/>
        <v>3392.0465682890399</v>
      </c>
      <c r="L157" s="239">
        <f t="shared" si="34"/>
        <v>7220.1187600069961</v>
      </c>
      <c r="M157" s="240">
        <f t="shared" si="34"/>
        <v>8678.0392349133017</v>
      </c>
      <c r="O157" s="148"/>
    </row>
    <row r="158" spans="1:35" ht="41.25" customHeight="1" x14ac:dyDescent="0.3">
      <c r="B158" s="148"/>
      <c r="C158" s="278" t="s">
        <v>459</v>
      </c>
      <c r="D158" s="259"/>
      <c r="E158" s="360">
        <f>E157/E160</f>
        <v>9.2167201675155797E-2</v>
      </c>
      <c r="F158" s="360">
        <f>F157/F160</f>
        <v>6.2756141516854283E-2</v>
      </c>
      <c r="G158" s="360">
        <f>G157/G160</f>
        <v>0.14062629361408116</v>
      </c>
      <c r="H158" s="361">
        <f>H157/H160</f>
        <v>0.36724953429470014</v>
      </c>
      <c r="I158" s="362">
        <f>AVERAGE(F158:H158)</f>
        <v>0.19021065647521188</v>
      </c>
      <c r="J158" s="360">
        <f>AVERAGE(G158:I158)</f>
        <v>0.23269549479466436</v>
      </c>
      <c r="K158" s="360">
        <f>AVERAGE(H158:J158)</f>
        <v>0.26338522852152546</v>
      </c>
      <c r="L158" s="360">
        <f>AVERAGE(I158:K158)</f>
        <v>0.22876379326380056</v>
      </c>
      <c r="M158" s="361">
        <f>AVERAGE(J158:L158)</f>
        <v>0.24161483885999679</v>
      </c>
      <c r="O158" s="222" t="s">
        <v>460</v>
      </c>
    </row>
    <row r="159" spans="1:35" ht="14.25" customHeight="1" x14ac:dyDescent="0.3">
      <c r="B159" s="201" t="s">
        <v>461</v>
      </c>
      <c r="C159" s="148"/>
      <c r="D159" s="259"/>
      <c r="E159" s="239">
        <f>'BALANCE SHEET'!C30</f>
        <v>7288</v>
      </c>
      <c r="F159" s="239">
        <f t="shared" ref="F159:M159" si="35">E170</f>
        <v>10760</v>
      </c>
      <c r="G159" s="239">
        <f t="shared" si="35"/>
        <v>11418</v>
      </c>
      <c r="H159" s="240">
        <f t="shared" si="35"/>
        <v>8991.15</v>
      </c>
      <c r="I159" s="238">
        <f t="shared" si="35"/>
        <v>10864.22</v>
      </c>
      <c r="J159" s="239">
        <f t="shared" si="35"/>
        <v>5430.9629676709001</v>
      </c>
      <c r="K159" s="239">
        <f t="shared" si="35"/>
        <v>11185.14398403453</v>
      </c>
      <c r="L159" s="239">
        <f t="shared" si="35"/>
        <v>20192.651502532321</v>
      </c>
      <c r="M159" s="240">
        <f t="shared" si="35"/>
        <v>29256.456915472525</v>
      </c>
      <c r="O159" s="148"/>
    </row>
    <row r="160" spans="1:35" ht="14.25" customHeight="1" x14ac:dyDescent="0.3">
      <c r="A160" s="223"/>
      <c r="B160" s="224" t="s">
        <v>462</v>
      </c>
      <c r="C160" s="225"/>
      <c r="D160" s="259"/>
      <c r="E160" s="279">
        <f>SUM(E157,E159)</f>
        <v>8027.91</v>
      </c>
      <c r="F160" s="279">
        <f>SUM(F157,F159)</f>
        <v>11480.47</v>
      </c>
      <c r="G160" s="279">
        <f>SUM(G157,G159)</f>
        <v>13286.42</v>
      </c>
      <c r="H160" s="280">
        <f>SUM(H157,H159)</f>
        <v>14209.63</v>
      </c>
      <c r="I160" s="281">
        <f>H168</f>
        <v>16149.61</v>
      </c>
      <c r="J160" s="279">
        <f>I168</f>
        <v>6706.6367458374134</v>
      </c>
      <c r="K160" s="279">
        <f>J168</f>
        <v>14577.190552323571</v>
      </c>
      <c r="L160" s="279">
        <f>K168</f>
        <v>27412.770262539318</v>
      </c>
      <c r="M160" s="280">
        <f>L168</f>
        <v>37934.496150385829</v>
      </c>
      <c r="N160" s="223"/>
      <c r="O160" s="229"/>
    </row>
    <row r="161" spans="1:35" ht="14.25" customHeight="1" x14ac:dyDescent="0.3">
      <c r="B161" s="148"/>
      <c r="C161" s="148"/>
      <c r="D161" s="259"/>
      <c r="E161" s="257"/>
      <c r="F161" s="257"/>
      <c r="G161" s="257"/>
      <c r="H161" s="287"/>
      <c r="I161" s="288"/>
      <c r="J161" s="257"/>
      <c r="K161" s="257"/>
      <c r="L161" s="257"/>
      <c r="M161" s="287"/>
      <c r="O161" s="148"/>
    </row>
    <row r="162" spans="1:35" ht="14.25" customHeight="1" x14ac:dyDescent="0.3">
      <c r="B162" s="201" t="s">
        <v>463</v>
      </c>
      <c r="C162" s="148"/>
      <c r="D162" s="259"/>
      <c r="E162" s="239">
        <f>'CASH FLOW STATEMENT '!D30</f>
        <v>3749.219999999998</v>
      </c>
      <c r="F162" s="239">
        <f>'CASH FLOW STATEMENT '!E30</f>
        <v>2238.8500000000017</v>
      </c>
      <c r="G162" s="239">
        <f>'CASH FLOW STATEMENT '!F30</f>
        <v>1833.3499999999972</v>
      </c>
      <c r="H162" s="240">
        <f>'CASH FLOW STATEMENT '!G30</f>
        <v>2976.6300000000028</v>
      </c>
      <c r="I162" s="238">
        <f>'CASH FLOW STATEMENT '!H30</f>
        <v>-8762.9663867171676</v>
      </c>
      <c r="J162" s="239">
        <f>'CASH FLOW STATEMENT '!I30</f>
        <v>8661.2281652009733</v>
      </c>
      <c r="K162" s="239">
        <f>'CASH FLOW STATEMENT '!J30</f>
        <v>13749.534409972699</v>
      </c>
      <c r="L162" s="239">
        <f>'CASH FLOW STATEMENT '!K30</f>
        <v>11476.545022692882</v>
      </c>
      <c r="M162" s="240">
        <f>'CASH FLOW STATEMENT '!L30</f>
        <v>9654.2219673975796</v>
      </c>
      <c r="O162" s="148"/>
    </row>
    <row r="163" spans="1:35" ht="14.25" customHeight="1" x14ac:dyDescent="0.3">
      <c r="B163" s="201" t="s">
        <v>464</v>
      </c>
      <c r="C163" s="148"/>
      <c r="D163" s="259"/>
      <c r="E163" s="239">
        <f>'CASH FLOW STATEMENT '!D35+'CASH FLOW STATEMENT '!D34+'CASH FLOW STATEMENT '!D37</f>
        <v>-41.189999999999991</v>
      </c>
      <c r="F163" s="239">
        <f>'CASH FLOW STATEMENT '!E35+'CASH FLOW STATEMENT '!E34+'CASH FLOW STATEMENT '!E37</f>
        <v>-115.51</v>
      </c>
      <c r="G163" s="239">
        <f>'CASH FLOW STATEMENT '!F35+'CASH FLOW STATEMENT '!F34+'CASH FLOW STATEMENT '!F37</f>
        <v>-334.76</v>
      </c>
      <c r="H163" s="240">
        <f>'CASH FLOW STATEMENT '!G35+'CASH FLOW STATEMENT '!G34+'CASH FLOW STATEMENT '!G37</f>
        <v>-483.6</v>
      </c>
      <c r="I163" s="238">
        <f>'CASH FLOW STATEMENT '!H35+'CASH FLOW STATEMENT '!H34+'CASH FLOW STATEMENT '!H37</f>
        <v>-310.79999999999995</v>
      </c>
      <c r="J163" s="239">
        <f>'CASH FLOW STATEMENT '!I35+'CASH FLOW STATEMENT '!I34+'CASH FLOW STATEMENT '!I37</f>
        <v>-147</v>
      </c>
      <c r="K163" s="239">
        <f>'CASH FLOW STATEMENT '!J35+'CASH FLOW STATEMENT '!J34+'CASH FLOW STATEMENT '!J37</f>
        <v>-72.000000000000057</v>
      </c>
      <c r="L163" s="239">
        <f>'CASH FLOW STATEMENT '!K35+'CASH FLOW STATEMENT '!K34+'CASH FLOW STATEMENT '!K37</f>
        <v>78</v>
      </c>
      <c r="M163" s="240">
        <f>'CASH FLOW STATEMENT '!L35+'CASH FLOW STATEMENT '!L34+'CASH FLOW STATEMENT '!L37</f>
        <v>88</v>
      </c>
      <c r="O163" s="148"/>
    </row>
    <row r="164" spans="1:35" ht="14.25" customHeight="1" x14ac:dyDescent="0.3">
      <c r="B164" s="201" t="s">
        <v>465</v>
      </c>
      <c r="C164" s="148"/>
      <c r="D164" s="259"/>
      <c r="E164" s="239">
        <f>'CASH FLOW STATEMENT '!D45</f>
        <v>-180.11</v>
      </c>
      <c r="F164" s="239">
        <f>'CASH FLOW STATEMENT '!E45</f>
        <v>-216.42</v>
      </c>
      <c r="G164" s="239">
        <f>'CASH FLOW STATEMENT '!F45</f>
        <v>-447.75</v>
      </c>
      <c r="H164" s="240">
        <f>'CASH FLOW STATEMENT '!G45</f>
        <v>-711.97</v>
      </c>
      <c r="I164" s="238">
        <f>I182</f>
        <v>-417.50353411208806</v>
      </c>
      <c r="J164" s="239">
        <f>J182</f>
        <v>-691.96658093703809</v>
      </c>
      <c r="K164" s="239">
        <f>K182</f>
        <v>-890.12432938658333</v>
      </c>
      <c r="L164" s="239">
        <f>L182</f>
        <v>-1081.0719743525419</v>
      </c>
      <c r="M164" s="240">
        <f>M182</f>
        <v>-1354.9594830687115</v>
      </c>
      <c r="O164" s="148"/>
    </row>
    <row r="165" spans="1:35" ht="14.25" customHeight="1" x14ac:dyDescent="0.3">
      <c r="B165" s="201" t="s">
        <v>466</v>
      </c>
      <c r="C165" s="148"/>
      <c r="D165" s="259"/>
      <c r="E165" s="239">
        <f>SUM('CASH FLOW STATEMENT '!D36,'CASH FLOW STATEMENT '!D38,'CASH FLOW STATEMENT '!D39,'CASH FLOW STATEMENT '!D41,'CASH FLOW STATEMENT '!D46,'CASH FLOW STATEMENT '!D47+'CASH FLOW STATEMENT '!D49)</f>
        <v>-75.359999999997967</v>
      </c>
      <c r="F165" s="239">
        <f>SUM('CASH FLOW STATEMENT '!E36,'CASH FLOW STATEMENT '!E38,'CASH FLOW STATEMENT '!E39,'CASH FLOW STATEMENT '!E41,'CASH FLOW STATEMENT '!E46,'CASH FLOW STATEMENT '!E47+'CASH FLOW STATEMENT '!E49)</f>
        <v>-100.97000000000185</v>
      </c>
      <c r="G165" s="239">
        <f>SUM('CASH FLOW STATEMENT '!F36,'CASH FLOW STATEMENT '!F38,'CASH FLOW STATEMENT '!F39,'CASH FLOW STATEMENT '!F41,'CASH FLOW STATEMENT '!F46,'CASH FLOW STATEMENT '!F47+'CASH FLOW STATEMENT '!F49)</f>
        <v>-127.62999999999806</v>
      </c>
      <c r="H165" s="240">
        <f>SUM('CASH FLOW STATEMENT '!G36,'CASH FLOW STATEMENT '!G38,'CASH FLOW STATEMENT '!G39,'CASH FLOW STATEMENT '!G41,'CASH FLOW STATEMENT '!G46,'CASH FLOW STATEMENT '!G47+'CASH FLOW STATEMENT '!G49)</f>
        <v>158.91999999999791</v>
      </c>
      <c r="I165" s="238">
        <f>SUM('CASH FLOW STATEMENT '!H36,'CASH FLOW STATEMENT '!H39,'CASH FLOW STATEMENT '!H41,'CASH FLOW STATEMENT '!H46,'CASH FLOW STATEMENT '!H47)</f>
        <v>48.296666666666667</v>
      </c>
      <c r="J165" s="239">
        <f>SUM('CASH FLOW STATEMENT '!I36,'CASH FLOW STATEMENT '!I39,'CASH FLOW STATEMENT '!I41,'CASH FLOW STATEMENT '!I46,'CASH FLOW STATEMENT '!I47)</f>
        <v>48.292222222222222</v>
      </c>
      <c r="K165" s="239">
        <f>SUM('CASH FLOW STATEMENT '!J36,'CASH FLOW STATEMENT '!J39,'CASH FLOW STATEMENT '!J41,'CASH FLOW STATEMENT '!J46,'CASH FLOW STATEMENT '!J47)</f>
        <v>48.169629629629632</v>
      </c>
      <c r="L165" s="239">
        <f>SUM('CASH FLOW STATEMENT '!K36,'CASH FLOW STATEMENT '!K39,'CASH FLOW STATEMENT '!K41,'CASH FLOW STATEMENT '!K46,'CASH FLOW STATEMENT '!K47)</f>
        <v>48.25283950617284</v>
      </c>
      <c r="M165" s="240">
        <f>SUM('CASH FLOW STATEMENT '!L36,'CASH FLOW STATEMENT '!L39,'CASH FLOW STATEMENT '!L41,'CASH FLOW STATEMENT '!L46,'CASH FLOW STATEMENT '!L47)</f>
        <v>48.238230452674898</v>
      </c>
      <c r="O165" s="148"/>
    </row>
    <row r="166" spans="1:35" ht="14.25" customHeight="1" x14ac:dyDescent="0.3">
      <c r="A166" s="223"/>
      <c r="B166" s="224" t="s">
        <v>467</v>
      </c>
      <c r="C166" s="225"/>
      <c r="D166" s="259"/>
      <c r="E166" s="279">
        <f t="shared" ref="E166:M166" si="36">SUM(E162:E165)</f>
        <v>3452.56</v>
      </c>
      <c r="F166" s="279">
        <f t="shared" si="36"/>
        <v>1805.9499999999996</v>
      </c>
      <c r="G166" s="279">
        <f t="shared" si="36"/>
        <v>923.20999999999913</v>
      </c>
      <c r="H166" s="280">
        <f t="shared" si="36"/>
        <v>1939.9800000000009</v>
      </c>
      <c r="I166" s="281">
        <f t="shared" si="36"/>
        <v>-9442.9732541625872</v>
      </c>
      <c r="J166" s="279">
        <f t="shared" si="36"/>
        <v>7870.5538064861576</v>
      </c>
      <c r="K166" s="279">
        <f t="shared" si="36"/>
        <v>12835.579710215747</v>
      </c>
      <c r="L166" s="279">
        <f t="shared" si="36"/>
        <v>10521.725887846513</v>
      </c>
      <c r="M166" s="280">
        <f t="shared" si="36"/>
        <v>8435.5007147815431</v>
      </c>
      <c r="N166" s="223"/>
      <c r="O166" s="229"/>
    </row>
    <row r="167" spans="1:35" ht="14.25" customHeight="1" x14ac:dyDescent="0.3">
      <c r="B167" s="148"/>
      <c r="C167" s="148"/>
      <c r="D167" s="259"/>
      <c r="E167" s="257"/>
      <c r="F167" s="257"/>
      <c r="G167" s="257"/>
      <c r="H167" s="287"/>
      <c r="I167" s="288"/>
      <c r="J167" s="257"/>
      <c r="K167" s="257"/>
      <c r="L167" s="257"/>
      <c r="M167" s="287"/>
      <c r="O167" s="148"/>
    </row>
    <row r="168" spans="1:35" ht="14.25" customHeight="1" x14ac:dyDescent="0.3">
      <c r="A168" s="223"/>
      <c r="B168" s="224" t="s">
        <v>468</v>
      </c>
      <c r="C168" s="225"/>
      <c r="D168" s="259"/>
      <c r="E168" s="279">
        <f t="shared" ref="E168:M168" si="37">E160+E166</f>
        <v>11480.47</v>
      </c>
      <c r="F168" s="279">
        <f t="shared" si="37"/>
        <v>13286.419999999998</v>
      </c>
      <c r="G168" s="279">
        <f t="shared" si="37"/>
        <v>14209.63</v>
      </c>
      <c r="H168" s="280">
        <f t="shared" si="37"/>
        <v>16149.61</v>
      </c>
      <c r="I168" s="281">
        <f t="shared" si="37"/>
        <v>6706.6367458374134</v>
      </c>
      <c r="J168" s="279">
        <f t="shared" si="37"/>
        <v>14577.190552323571</v>
      </c>
      <c r="K168" s="279">
        <f t="shared" si="37"/>
        <v>27412.770262539318</v>
      </c>
      <c r="L168" s="279">
        <f t="shared" si="37"/>
        <v>37934.496150385829</v>
      </c>
      <c r="M168" s="280">
        <f t="shared" si="37"/>
        <v>46369.99686516737</v>
      </c>
      <c r="N168" s="223"/>
      <c r="O168" s="229"/>
    </row>
    <row r="169" spans="1:35" ht="14.25" customHeight="1" x14ac:dyDescent="0.3">
      <c r="B169" s="201" t="s">
        <v>469</v>
      </c>
      <c r="C169" s="148"/>
      <c r="D169" s="259"/>
      <c r="E169" s="239">
        <f>'BALANCE SHEET'!D29</f>
        <v>720.47</v>
      </c>
      <c r="F169" s="239">
        <f>'BALANCE SHEET'!E29</f>
        <v>1868.42</v>
      </c>
      <c r="G169" s="239">
        <f>'BALANCE SHEET'!F29</f>
        <v>5218.4799999999996</v>
      </c>
      <c r="H169" s="240">
        <f>'BALANCE SHEET'!G29</f>
        <v>5285.39</v>
      </c>
      <c r="I169" s="238">
        <f>I168*I158</f>
        <v>1275.6737781665131</v>
      </c>
      <c r="J169" s="239">
        <f>J168*J158</f>
        <v>3392.0465682890399</v>
      </c>
      <c r="K169" s="239">
        <f>K168*K158</f>
        <v>7220.1187600069961</v>
      </c>
      <c r="L169" s="239">
        <f>L168*L158</f>
        <v>8678.0392349133017</v>
      </c>
      <c r="M169" s="240">
        <f>M168*M158</f>
        <v>11203.67932051597</v>
      </c>
      <c r="O169" s="148"/>
    </row>
    <row r="170" spans="1:35" ht="14.25" customHeight="1" x14ac:dyDescent="0.3">
      <c r="B170" s="201" t="s">
        <v>470</v>
      </c>
      <c r="C170" s="148"/>
      <c r="D170" s="259"/>
      <c r="E170" s="239">
        <f>'BALANCE SHEET'!D30</f>
        <v>10760</v>
      </c>
      <c r="F170" s="239">
        <f>'BALANCE SHEET'!E30</f>
        <v>11418</v>
      </c>
      <c r="G170" s="239">
        <f>'BALANCE SHEET'!F30</f>
        <v>8991.15</v>
      </c>
      <c r="H170" s="240">
        <f>'BALANCE SHEET'!G30</f>
        <v>10864.22</v>
      </c>
      <c r="I170" s="238">
        <f>I168-I169</f>
        <v>5430.9629676709001</v>
      </c>
      <c r="J170" s="239">
        <f>J168-J169</f>
        <v>11185.14398403453</v>
      </c>
      <c r="K170" s="239">
        <f>K168-K169</f>
        <v>20192.651502532321</v>
      </c>
      <c r="L170" s="239">
        <f>L168-L169</f>
        <v>29256.456915472525</v>
      </c>
      <c r="M170" s="240">
        <f>M168-M169</f>
        <v>35166.3175446514</v>
      </c>
      <c r="O170" s="148"/>
    </row>
    <row r="171" spans="1:35" ht="14.25" customHeight="1" x14ac:dyDescent="0.3">
      <c r="B171" s="148"/>
      <c r="C171" s="148"/>
      <c r="D171" s="259"/>
      <c r="E171" s="257"/>
      <c r="F171" s="257"/>
      <c r="G171" s="257"/>
      <c r="H171" s="287"/>
      <c r="I171" s="288"/>
      <c r="J171" s="257"/>
      <c r="K171" s="257"/>
      <c r="L171" s="257"/>
      <c r="M171" s="287"/>
      <c r="O171" s="148"/>
    </row>
    <row r="172" spans="1:35" ht="14.25" customHeight="1" x14ac:dyDescent="0.3">
      <c r="A172" s="363"/>
      <c r="B172" s="231" t="s">
        <v>471</v>
      </c>
      <c r="C172" s="232"/>
      <c r="D172" s="259"/>
      <c r="E172" s="284">
        <f>E168-SUM('BALANCE SHEET'!D29+'BALANCE SHEET'!D30)</f>
        <v>0</v>
      </c>
      <c r="F172" s="284">
        <f>F168-SUM('BALANCE SHEET'!E29+'BALANCE SHEET'!E30)</f>
        <v>0</v>
      </c>
      <c r="G172" s="284">
        <f>G168-SUM('BALANCE SHEET'!F29+'BALANCE SHEET'!F30)</f>
        <v>0</v>
      </c>
      <c r="H172" s="285">
        <f>H168-SUM('BALANCE SHEET'!G29+'BALANCE SHEET'!G30)</f>
        <v>0</v>
      </c>
      <c r="I172" s="286">
        <f>I168-SUM('BALANCE SHEET'!H29+'BALANCE SHEET'!H30)</f>
        <v>0</v>
      </c>
      <c r="J172" s="284">
        <f>J168-SUM('BALANCE SHEET'!I29+'BALANCE SHEET'!I30)</f>
        <v>0</v>
      </c>
      <c r="K172" s="284">
        <f>K168-SUM('BALANCE SHEET'!J29+'BALANCE SHEET'!J30)</f>
        <v>0</v>
      </c>
      <c r="L172" s="284">
        <f>L168-SUM('BALANCE SHEET'!K29+'BALANCE SHEET'!K30)</f>
        <v>0</v>
      </c>
      <c r="M172" s="285">
        <f>M168-SUM('BALANCE SHEET'!L29+'BALANCE SHEET'!L30)</f>
        <v>0</v>
      </c>
      <c r="N172" s="282"/>
      <c r="O172" s="237"/>
      <c r="P172" s="363"/>
      <c r="Q172" s="363"/>
      <c r="R172" s="363"/>
      <c r="S172" s="363"/>
      <c r="T172" s="363"/>
      <c r="U172" s="363"/>
      <c r="V172" s="363"/>
      <c r="W172" s="363"/>
      <c r="X172" s="363"/>
      <c r="Y172" s="363"/>
      <c r="Z172" s="363"/>
      <c r="AA172" s="363"/>
      <c r="AB172" s="363"/>
      <c r="AC172" s="363"/>
      <c r="AD172" s="363"/>
      <c r="AE172" s="363"/>
      <c r="AF172" s="363"/>
      <c r="AG172" s="363"/>
      <c r="AH172" s="363"/>
      <c r="AI172" s="363"/>
    </row>
    <row r="173" spans="1:35" ht="14.25" customHeight="1" x14ac:dyDescent="0.3">
      <c r="B173" s="148"/>
      <c r="C173" s="148"/>
      <c r="D173" s="259"/>
      <c r="H173" s="104"/>
      <c r="I173" s="103"/>
      <c r="M173" s="104"/>
      <c r="O173" s="148"/>
    </row>
    <row r="174" spans="1:35" ht="14.25" customHeight="1" x14ac:dyDescent="0.3">
      <c r="B174" s="269"/>
      <c r="C174" s="269"/>
      <c r="D174" s="355"/>
      <c r="E174" s="274"/>
      <c r="F174" s="274"/>
      <c r="G174" s="274"/>
      <c r="H174" s="275"/>
      <c r="I174" s="273"/>
      <c r="J174" s="274"/>
      <c r="K174" s="274"/>
      <c r="L174" s="274"/>
      <c r="M174" s="275"/>
      <c r="O174" s="269"/>
    </row>
    <row r="175" spans="1:35" ht="14.25" customHeight="1" x14ac:dyDescent="0.3">
      <c r="A175" s="178"/>
      <c r="B175" s="179" t="s">
        <v>472</v>
      </c>
      <c r="C175" s="180"/>
      <c r="D175" s="356"/>
      <c r="E175" s="182"/>
      <c r="F175" s="182"/>
      <c r="G175" s="182"/>
      <c r="H175" s="183"/>
      <c r="I175" s="181"/>
      <c r="J175" s="182"/>
      <c r="K175" s="182"/>
      <c r="L175" s="182"/>
      <c r="M175" s="183"/>
      <c r="O175" s="184"/>
    </row>
    <row r="176" spans="1:35" ht="14.25" customHeight="1" x14ac:dyDescent="0.3">
      <c r="B176" s="277"/>
      <c r="C176" s="225"/>
      <c r="D176" s="259"/>
      <c r="H176" s="104"/>
      <c r="I176" s="103"/>
      <c r="M176" s="104"/>
      <c r="O176" s="148"/>
    </row>
    <row r="177" spans="1:35" ht="14.25" customHeight="1" x14ac:dyDescent="0.3">
      <c r="B177" s="201" t="s">
        <v>473</v>
      </c>
      <c r="C177" s="148"/>
      <c r="D177" s="259"/>
      <c r="E177" s="239">
        <f>'BALANCE SHEET'!D43</f>
        <v>201.69</v>
      </c>
      <c r="F177" s="239">
        <f>'BALANCE SHEET'!E43</f>
        <v>201.69</v>
      </c>
      <c r="G177" s="239">
        <f>'BALANCE SHEET'!F43</f>
        <v>201.69</v>
      </c>
      <c r="H177" s="240">
        <f>'BALANCE SHEET'!G43</f>
        <v>201.69</v>
      </c>
      <c r="I177" s="238">
        <v>201.69</v>
      </c>
      <c r="J177" s="239">
        <v>201.69</v>
      </c>
      <c r="K177" s="239">
        <v>201.69</v>
      </c>
      <c r="L177" s="239">
        <v>201.69</v>
      </c>
      <c r="M177" s="240">
        <v>201.69</v>
      </c>
      <c r="N177" s="257"/>
      <c r="O177" s="148"/>
    </row>
    <row r="178" spans="1:35" ht="14.25" customHeight="1" x14ac:dyDescent="0.3">
      <c r="B178" s="148"/>
      <c r="C178" s="148"/>
      <c r="D178" s="259"/>
      <c r="H178" s="104"/>
      <c r="I178" s="103"/>
      <c r="M178" s="104"/>
      <c r="O178" s="148"/>
    </row>
    <row r="179" spans="1:35" ht="14.25" customHeight="1" x14ac:dyDescent="0.3">
      <c r="B179" s="224" t="s">
        <v>474</v>
      </c>
      <c r="C179" s="225"/>
      <c r="D179" s="259"/>
      <c r="H179" s="104"/>
      <c r="I179" s="103"/>
      <c r="M179" s="104"/>
      <c r="O179" s="148"/>
    </row>
    <row r="180" spans="1:35" ht="27.75" customHeight="1" x14ac:dyDescent="0.3">
      <c r="B180" s="201" t="s">
        <v>475</v>
      </c>
      <c r="C180" s="148"/>
      <c r="D180" s="259"/>
      <c r="E180" s="239">
        <f>'BALANCE SHEET'!C44+54.81</f>
        <v>2772.18</v>
      </c>
      <c r="F180" s="239">
        <f t="shared" ref="F180:M180" si="38">E183</f>
        <v>3178.5400000000004</v>
      </c>
      <c r="G180" s="239">
        <f t="shared" si="38"/>
        <v>4034.84</v>
      </c>
      <c r="H180" s="240">
        <f t="shared" si="38"/>
        <v>5432.5199999999995</v>
      </c>
      <c r="I180" s="238">
        <f t="shared" si="38"/>
        <v>7045.4299999999994</v>
      </c>
      <c r="J180" s="239">
        <f t="shared" si="38"/>
        <v>8644.0000375924192</v>
      </c>
      <c r="K180" s="239">
        <f t="shared" si="38"/>
        <v>10411.848814182311</v>
      </c>
      <c r="L180" s="239">
        <f t="shared" si="38"/>
        <v>12724.228549365371</v>
      </c>
      <c r="M180" s="240">
        <f t="shared" si="38"/>
        <v>15577.263270358339</v>
      </c>
      <c r="N180" s="257"/>
      <c r="O180" s="222" t="s">
        <v>476</v>
      </c>
    </row>
    <row r="181" spans="1:35" ht="14.25" customHeight="1" x14ac:dyDescent="0.3">
      <c r="B181" s="201" t="s">
        <v>477</v>
      </c>
      <c r="C181" s="148"/>
      <c r="D181" s="259"/>
      <c r="E181" s="239">
        <f>'INCOME STATEMENT'!D59</f>
        <v>586.47000000000071</v>
      </c>
      <c r="F181" s="239">
        <f>'INCOME STATEMENT'!E59</f>
        <v>1072.7199999999993</v>
      </c>
      <c r="G181" s="239">
        <f>'INCOME STATEMENT'!F59</f>
        <v>1845.4299999999996</v>
      </c>
      <c r="H181" s="240">
        <f>'INCOME STATEMENT'!G59</f>
        <v>2324.88</v>
      </c>
      <c r="I181" s="238">
        <f>'INCOME STATEMENT'!H59</f>
        <v>2016.0735717045077</v>
      </c>
      <c r="J181" s="239">
        <f>'INCOME STATEMENT'!I59</f>
        <v>2459.8153575269298</v>
      </c>
      <c r="K181" s="239">
        <f>'INCOME STATEMENT'!J59</f>
        <v>3202.5040645696427</v>
      </c>
      <c r="L181" s="239">
        <f>'INCOME STATEMENT'!K59</f>
        <v>3934.1066953455093</v>
      </c>
      <c r="M181" s="240">
        <f>'INCOME STATEMENT'!L59</f>
        <v>4853.1905469117082</v>
      </c>
      <c r="N181" s="257"/>
      <c r="O181" s="148"/>
    </row>
    <row r="182" spans="1:35" ht="14.25" customHeight="1" x14ac:dyDescent="0.3">
      <c r="B182" s="201" t="s">
        <v>478</v>
      </c>
      <c r="C182" s="148"/>
      <c r="D182" s="259"/>
      <c r="E182" s="239">
        <f>'CASH FLOW STATEMENT '!D45</f>
        <v>-180.11</v>
      </c>
      <c r="F182" s="239">
        <f>'CASH FLOW STATEMENT '!E45</f>
        <v>-216.42</v>
      </c>
      <c r="G182" s="239">
        <f>'CASH FLOW STATEMENT '!F45</f>
        <v>-447.75</v>
      </c>
      <c r="H182" s="240">
        <f>'CASH FLOW STATEMENT '!G45</f>
        <v>-711.97</v>
      </c>
      <c r="I182" s="238">
        <f>-SUM(I201,H203)</f>
        <v>-417.50353411208806</v>
      </c>
      <c r="J182" s="239">
        <f>-SUM(J201,I203)</f>
        <v>-691.96658093703809</v>
      </c>
      <c r="K182" s="239">
        <f>-SUM(K201,J203)</f>
        <v>-890.12432938658333</v>
      </c>
      <c r="L182" s="239">
        <f>-SUM(L201,K203)</f>
        <v>-1081.0719743525419</v>
      </c>
      <c r="M182" s="240">
        <f>-SUM(M201,L203)</f>
        <v>-1354.9594830687115</v>
      </c>
      <c r="N182" s="257"/>
      <c r="O182" s="148"/>
    </row>
    <row r="183" spans="1:35" ht="14.25" customHeight="1" x14ac:dyDescent="0.3">
      <c r="A183" s="223"/>
      <c r="B183" s="224" t="s">
        <v>479</v>
      </c>
      <c r="C183" s="225"/>
      <c r="D183" s="259"/>
      <c r="E183" s="279">
        <f t="shared" ref="E183:M183" si="39">SUM(E180:E182)</f>
        <v>3178.5400000000004</v>
      </c>
      <c r="F183" s="279">
        <f t="shared" si="39"/>
        <v>4034.84</v>
      </c>
      <c r="G183" s="279">
        <f t="shared" si="39"/>
        <v>5432.5199999999995</v>
      </c>
      <c r="H183" s="280">
        <f t="shared" si="39"/>
        <v>7045.4299999999994</v>
      </c>
      <c r="I183" s="281">
        <f t="shared" si="39"/>
        <v>8644.0000375924192</v>
      </c>
      <c r="J183" s="279">
        <f t="shared" si="39"/>
        <v>10411.848814182311</v>
      </c>
      <c r="K183" s="279">
        <f t="shared" si="39"/>
        <v>12724.228549365371</v>
      </c>
      <c r="L183" s="279">
        <f t="shared" si="39"/>
        <v>15577.263270358339</v>
      </c>
      <c r="M183" s="280">
        <f t="shared" si="39"/>
        <v>19075.494334201336</v>
      </c>
      <c r="N183" s="282"/>
      <c r="O183" s="229"/>
    </row>
    <row r="184" spans="1:35" ht="14.25" customHeight="1" x14ac:dyDescent="0.3">
      <c r="B184" s="148"/>
      <c r="C184" s="148"/>
      <c r="D184" s="259"/>
      <c r="E184" s="257"/>
      <c r="F184" s="257"/>
      <c r="G184" s="257"/>
      <c r="H184" s="287"/>
      <c r="I184" s="288"/>
      <c r="J184" s="257"/>
      <c r="K184" s="257"/>
      <c r="L184" s="257"/>
      <c r="M184" s="287"/>
      <c r="N184" s="257"/>
      <c r="O184" s="148"/>
    </row>
    <row r="185" spans="1:35" ht="14.25" customHeight="1" x14ac:dyDescent="0.3">
      <c r="B185" s="224" t="s">
        <v>480</v>
      </c>
      <c r="C185" s="225"/>
      <c r="D185" s="259"/>
      <c r="E185" s="257"/>
      <c r="F185" s="257"/>
      <c r="G185" s="257"/>
      <c r="H185" s="287"/>
      <c r="I185" s="288"/>
      <c r="J185" s="257"/>
      <c r="K185" s="257"/>
      <c r="L185" s="257"/>
      <c r="M185" s="287"/>
      <c r="N185" s="257"/>
      <c r="O185" s="148"/>
    </row>
    <row r="186" spans="1:35" ht="14.25" customHeight="1" x14ac:dyDescent="0.3">
      <c r="B186" s="201" t="s">
        <v>481</v>
      </c>
      <c r="C186" s="148"/>
      <c r="D186" s="259"/>
      <c r="E186" s="239">
        <v>-54.81</v>
      </c>
      <c r="F186" s="239">
        <f t="shared" ref="F186:M186" si="40">E188</f>
        <v>-58.870000000000005</v>
      </c>
      <c r="G186" s="239">
        <f t="shared" si="40"/>
        <v>-58.95</v>
      </c>
      <c r="H186" s="240">
        <f t="shared" si="40"/>
        <v>-63.510000000000005</v>
      </c>
      <c r="I186" s="238">
        <f t="shared" si="40"/>
        <v>-66.260000000000005</v>
      </c>
      <c r="J186" s="239">
        <f t="shared" si="40"/>
        <v>-68.723333333333343</v>
      </c>
      <c r="K186" s="239">
        <f t="shared" si="40"/>
        <v>-71.981111111111119</v>
      </c>
      <c r="L186" s="239">
        <f t="shared" si="40"/>
        <v>-74.804814814814819</v>
      </c>
      <c r="M186" s="240">
        <f t="shared" si="40"/>
        <v>-77.653086419753095</v>
      </c>
      <c r="N186" s="257"/>
      <c r="O186" s="222" t="s">
        <v>482</v>
      </c>
    </row>
    <row r="187" spans="1:35" ht="41.25" customHeight="1" x14ac:dyDescent="0.3">
      <c r="B187" s="201" t="s">
        <v>483</v>
      </c>
      <c r="C187" s="278" t="s">
        <v>484</v>
      </c>
      <c r="D187" s="259"/>
      <c r="E187" s="239">
        <f>'INCOME STATEMENT'!D97</f>
        <v>-4.0599999999999996</v>
      </c>
      <c r="F187" s="239">
        <f>'INCOME STATEMENT'!E97</f>
        <v>-0.08</v>
      </c>
      <c r="G187" s="239">
        <f>'INCOME STATEMENT'!F97</f>
        <v>-4.5599999999999996</v>
      </c>
      <c r="H187" s="240">
        <f>'INCOME STATEMENT'!G97</f>
        <v>-2.75</v>
      </c>
      <c r="I187" s="238">
        <f>AVERAGE(F187:H187)</f>
        <v>-2.4633333333333334</v>
      </c>
      <c r="J187" s="239">
        <f>AVERAGE(G187:I187)</f>
        <v>-3.2577777777777777</v>
      </c>
      <c r="K187" s="239">
        <f>AVERAGE(H187:J187)</f>
        <v>-2.8237037037037034</v>
      </c>
      <c r="L187" s="239">
        <f>AVERAGE(I187:K187)</f>
        <v>-2.848271604938271</v>
      </c>
      <c r="M187" s="240">
        <f>AVERAGE(J187:L187)</f>
        <v>-2.9765843621399171</v>
      </c>
      <c r="N187" s="257"/>
      <c r="O187" s="222" t="s">
        <v>485</v>
      </c>
    </row>
    <row r="188" spans="1:35" ht="14.25" customHeight="1" x14ac:dyDescent="0.3">
      <c r="A188" s="223"/>
      <c r="B188" s="224" t="s">
        <v>486</v>
      </c>
      <c r="C188" s="225"/>
      <c r="D188" s="259"/>
      <c r="E188" s="279">
        <f t="shared" ref="E188:M188" si="41">SUM(E186:E187)</f>
        <v>-58.870000000000005</v>
      </c>
      <c r="F188" s="279">
        <f t="shared" si="41"/>
        <v>-58.95</v>
      </c>
      <c r="G188" s="279">
        <f t="shared" si="41"/>
        <v>-63.510000000000005</v>
      </c>
      <c r="H188" s="280">
        <f t="shared" si="41"/>
        <v>-66.260000000000005</v>
      </c>
      <c r="I188" s="281">
        <f t="shared" si="41"/>
        <v>-68.723333333333343</v>
      </c>
      <c r="J188" s="279">
        <f t="shared" si="41"/>
        <v>-71.981111111111119</v>
      </c>
      <c r="K188" s="279">
        <f t="shared" si="41"/>
        <v>-74.804814814814819</v>
      </c>
      <c r="L188" s="279">
        <f t="shared" si="41"/>
        <v>-77.653086419753095</v>
      </c>
      <c r="M188" s="280">
        <f t="shared" si="41"/>
        <v>-80.629670781893012</v>
      </c>
      <c r="N188" s="282"/>
      <c r="O188" s="229"/>
    </row>
    <row r="189" spans="1:35" ht="14.25" customHeight="1" x14ac:dyDescent="0.3">
      <c r="B189" s="148"/>
      <c r="C189" s="148"/>
      <c r="D189" s="259"/>
      <c r="E189" s="257"/>
      <c r="F189" s="257"/>
      <c r="G189" s="257"/>
      <c r="H189" s="287"/>
      <c r="I189" s="288"/>
      <c r="J189" s="257"/>
      <c r="K189" s="257"/>
      <c r="L189" s="257"/>
      <c r="M189" s="287"/>
      <c r="N189" s="257"/>
      <c r="O189" s="148"/>
    </row>
    <row r="190" spans="1:35" ht="14.25" customHeight="1" x14ac:dyDescent="0.3">
      <c r="A190" s="223"/>
      <c r="B190" s="224" t="s">
        <v>487</v>
      </c>
      <c r="C190" s="225"/>
      <c r="D190" s="259"/>
      <c r="E190" s="279">
        <f t="shared" ref="E190:M190" si="42">E177+E183+E188</f>
        <v>3321.3600000000006</v>
      </c>
      <c r="F190" s="279">
        <f t="shared" si="42"/>
        <v>4177.58</v>
      </c>
      <c r="G190" s="279">
        <f t="shared" si="42"/>
        <v>5570.6999999999989</v>
      </c>
      <c r="H190" s="280">
        <f t="shared" si="42"/>
        <v>7180.8599999999988</v>
      </c>
      <c r="I190" s="281">
        <f t="shared" si="42"/>
        <v>8776.9667042590863</v>
      </c>
      <c r="J190" s="279">
        <f t="shared" si="42"/>
        <v>10541.557703071201</v>
      </c>
      <c r="K190" s="279">
        <f t="shared" si="42"/>
        <v>12851.113734550556</v>
      </c>
      <c r="L190" s="279">
        <f t="shared" si="42"/>
        <v>15701.300183938585</v>
      </c>
      <c r="M190" s="280">
        <f t="shared" si="42"/>
        <v>19196.55466341944</v>
      </c>
      <c r="N190" s="282"/>
      <c r="O190" s="229"/>
    </row>
    <row r="191" spans="1:35" s="223" customFormat="1" ht="14.25" customHeight="1" x14ac:dyDescent="0.3">
      <c r="A191" s="230"/>
      <c r="B191" s="231" t="s">
        <v>237</v>
      </c>
      <c r="C191" s="232"/>
      <c r="D191" s="259"/>
      <c r="E191" s="284">
        <f>ROUNDDOWN(E190-'BALANCE SHEET'!D45,0)</f>
        <v>0</v>
      </c>
      <c r="F191" s="284">
        <f>ROUNDDOWN(F190-'BALANCE SHEET'!E45,0)</f>
        <v>0</v>
      </c>
      <c r="G191" s="284">
        <f>ROUNDDOWN(G190-'BALANCE SHEET'!F45,0)</f>
        <v>0</v>
      </c>
      <c r="H191" s="285">
        <f>ROUNDDOWN(H190-'BALANCE SHEET'!G45,0)</f>
        <v>0</v>
      </c>
      <c r="I191" s="286">
        <f>ROUNDDOWN(I190-'BALANCE SHEET'!H45,0)</f>
        <v>0</v>
      </c>
      <c r="J191" s="284">
        <f>ROUNDDOWN(J190-'BALANCE SHEET'!I45,0)</f>
        <v>0</v>
      </c>
      <c r="K191" s="284">
        <f>ROUNDDOWN(K190-'BALANCE SHEET'!J45,0)</f>
        <v>0</v>
      </c>
      <c r="L191" s="284">
        <f>ROUNDDOWN(L190-'BALANCE SHEET'!K45,0)</f>
        <v>0</v>
      </c>
      <c r="M191" s="285">
        <f>ROUNDDOWN(M190-'BALANCE SHEET'!L45,0)</f>
        <v>0</v>
      </c>
      <c r="N191" s="282"/>
      <c r="O191" s="237"/>
      <c r="P191" s="230"/>
      <c r="Q191" s="230"/>
      <c r="R191" s="230"/>
      <c r="S191" s="230"/>
      <c r="T191" s="230"/>
      <c r="U191" s="230"/>
      <c r="V191" s="230"/>
      <c r="W191" s="230"/>
      <c r="X191" s="230"/>
      <c r="Y191" s="230"/>
      <c r="Z191" s="230"/>
      <c r="AA191" s="230"/>
      <c r="AB191" s="230"/>
      <c r="AC191" s="230"/>
      <c r="AD191" s="230"/>
      <c r="AE191" s="230"/>
      <c r="AF191" s="230"/>
      <c r="AG191" s="230"/>
      <c r="AH191" s="230"/>
      <c r="AI191" s="230"/>
    </row>
    <row r="192" spans="1:35" ht="14.25" customHeight="1" x14ac:dyDescent="0.3">
      <c r="B192" s="364"/>
      <c r="C192" s="365"/>
      <c r="D192" s="355"/>
      <c r="E192" s="366"/>
      <c r="F192" s="366"/>
      <c r="G192" s="366"/>
      <c r="H192" s="367"/>
      <c r="I192" s="368"/>
      <c r="J192" s="366"/>
      <c r="K192" s="366"/>
      <c r="L192" s="366"/>
      <c r="M192" s="367"/>
      <c r="N192" s="282"/>
      <c r="O192" s="336"/>
    </row>
    <row r="193" spans="1:35" ht="14.25" customHeight="1" x14ac:dyDescent="0.3">
      <c r="A193" s="178"/>
      <c r="B193" s="179" t="s">
        <v>488</v>
      </c>
      <c r="C193" s="180"/>
      <c r="D193" s="356"/>
      <c r="E193" s="182"/>
      <c r="F193" s="182"/>
      <c r="G193" s="182"/>
      <c r="H193" s="183"/>
      <c r="I193" s="181"/>
      <c r="J193" s="182"/>
      <c r="K193" s="182"/>
      <c r="L193" s="182"/>
      <c r="M193" s="183"/>
      <c r="O193" s="184"/>
    </row>
    <row r="194" spans="1:35" ht="14.25" customHeight="1" x14ac:dyDescent="0.3">
      <c r="B194" s="148"/>
      <c r="C194" s="148"/>
      <c r="D194" s="259"/>
      <c r="H194" s="104"/>
      <c r="I194" s="103"/>
      <c r="M194" s="104"/>
      <c r="O194" s="148"/>
    </row>
    <row r="195" spans="1:35" ht="14.25" customHeight="1" x14ac:dyDescent="0.3">
      <c r="B195" s="193" t="s">
        <v>489</v>
      </c>
      <c r="C195" s="194"/>
      <c r="D195" s="259"/>
      <c r="E195" s="239">
        <f>'INCOME STATEMENT'!D59</f>
        <v>586.47000000000071</v>
      </c>
      <c r="F195" s="239">
        <f>'INCOME STATEMENT'!E59</f>
        <v>1072.7199999999993</v>
      </c>
      <c r="G195" s="239">
        <f>'INCOME STATEMENT'!F59</f>
        <v>1845.4299999999996</v>
      </c>
      <c r="H195" s="240">
        <f>'INCOME STATEMENT'!G59</f>
        <v>2324.88</v>
      </c>
      <c r="I195" s="238">
        <f>'INCOME STATEMENT'!H59</f>
        <v>2016.0735717045077</v>
      </c>
      <c r="J195" s="239">
        <f>'INCOME STATEMENT'!I59</f>
        <v>2459.8153575269298</v>
      </c>
      <c r="K195" s="239">
        <f>'INCOME STATEMENT'!J59</f>
        <v>3202.5040645696427</v>
      </c>
      <c r="L195" s="239">
        <f>'INCOME STATEMENT'!K59</f>
        <v>3934.1066953455093</v>
      </c>
      <c r="M195" s="240">
        <f>'INCOME STATEMENT'!L59</f>
        <v>4853.1905469117082</v>
      </c>
      <c r="N195" s="257"/>
      <c r="O195" s="148"/>
    </row>
    <row r="196" spans="1:35" ht="14.25" customHeight="1" x14ac:dyDescent="0.3">
      <c r="B196" s="251"/>
      <c r="C196" s="194"/>
      <c r="D196" s="259"/>
      <c r="E196" s="257"/>
      <c r="F196" s="257"/>
      <c r="G196" s="257"/>
      <c r="H196" s="287"/>
      <c r="I196" s="288"/>
      <c r="J196" s="257"/>
      <c r="K196" s="257"/>
      <c r="L196" s="257"/>
      <c r="M196" s="287"/>
      <c r="N196" s="257"/>
      <c r="O196" s="148"/>
    </row>
    <row r="197" spans="1:35" ht="41.25" customHeight="1" x14ac:dyDescent="0.3">
      <c r="A197" s="185"/>
      <c r="B197" s="193" t="s">
        <v>490</v>
      </c>
      <c r="C197" s="306" t="s">
        <v>491</v>
      </c>
      <c r="D197" s="259"/>
      <c r="E197" s="246">
        <f>E198/E195</f>
        <v>0.30022911657885282</v>
      </c>
      <c r="F197" s="246">
        <f>F198/F195</f>
        <v>0.30007573271683219</v>
      </c>
      <c r="G197" s="246">
        <f>G198/G195</f>
        <v>0.30000544588524092</v>
      </c>
      <c r="H197" s="247">
        <f>H198/H195</f>
        <v>0.22468991947971503</v>
      </c>
      <c r="I197" s="248">
        <v>0.3</v>
      </c>
      <c r="J197" s="246">
        <v>0.3</v>
      </c>
      <c r="K197" s="246">
        <v>0.3</v>
      </c>
      <c r="L197" s="246">
        <v>0.3</v>
      </c>
      <c r="M197" s="247">
        <v>0.3</v>
      </c>
      <c r="N197" s="185"/>
      <c r="O197" s="308" t="s">
        <v>492</v>
      </c>
      <c r="P197" s="185"/>
      <c r="Q197" s="185"/>
      <c r="R197" s="185"/>
      <c r="S197" s="185"/>
      <c r="T197" s="185"/>
      <c r="U197" s="185"/>
      <c r="V197" s="185"/>
      <c r="W197" s="185"/>
      <c r="X197" s="185"/>
      <c r="Y197" s="185"/>
      <c r="Z197" s="185"/>
      <c r="AA197" s="185"/>
      <c r="AB197" s="185"/>
      <c r="AC197" s="185"/>
      <c r="AD197" s="185"/>
      <c r="AE197" s="185"/>
      <c r="AF197" s="185"/>
      <c r="AG197" s="185"/>
      <c r="AH197" s="185"/>
      <c r="AI197" s="185"/>
    </row>
    <row r="198" spans="1:35" ht="14.25" customHeight="1" x14ac:dyDescent="0.3">
      <c r="A198" s="223"/>
      <c r="B198" s="224" t="s">
        <v>493</v>
      </c>
      <c r="C198" s="225"/>
      <c r="D198" s="259"/>
      <c r="E198" s="279">
        <f>'INCOME STATEMENT'!D77</f>
        <v>176.07537000000002</v>
      </c>
      <c r="F198" s="279">
        <f>'INCOME STATEMENT'!E77</f>
        <v>321.89724000000001</v>
      </c>
      <c r="G198" s="279">
        <f>'INCOME STATEMENT'!F77</f>
        <v>553.63905</v>
      </c>
      <c r="H198" s="280">
        <f>'INCOME STATEMENT'!G77</f>
        <v>522.37709999999993</v>
      </c>
      <c r="I198" s="281">
        <f>I197*I195</f>
        <v>604.82207151135231</v>
      </c>
      <c r="J198" s="279">
        <f>J197*J195</f>
        <v>737.94460725807892</v>
      </c>
      <c r="K198" s="279">
        <f>K197*K195</f>
        <v>960.75121937089273</v>
      </c>
      <c r="L198" s="279">
        <f>L197*L195</f>
        <v>1180.2320086036527</v>
      </c>
      <c r="M198" s="280">
        <f>M197*M195</f>
        <v>1455.9571640735123</v>
      </c>
      <c r="N198" s="223"/>
      <c r="O198" s="229"/>
    </row>
    <row r="199" spans="1:35" ht="14.25" customHeight="1" x14ac:dyDescent="0.3">
      <c r="A199" s="223"/>
      <c r="B199" s="277"/>
      <c r="C199" s="225"/>
      <c r="D199" s="259"/>
      <c r="E199" s="282"/>
      <c r="F199" s="282"/>
      <c r="G199" s="282"/>
      <c r="H199" s="350"/>
      <c r="I199" s="351"/>
      <c r="J199" s="282"/>
      <c r="K199" s="282"/>
      <c r="L199" s="282"/>
      <c r="M199" s="350"/>
      <c r="N199" s="223"/>
      <c r="O199" s="229"/>
    </row>
    <row r="200" spans="1:35" ht="41.25" customHeight="1" x14ac:dyDescent="0.3">
      <c r="B200" s="193" t="s">
        <v>494</v>
      </c>
      <c r="C200" s="278" t="s">
        <v>313</v>
      </c>
      <c r="D200" s="259"/>
      <c r="E200" s="360">
        <f>E201/E195</f>
        <v>0.24417259194843693</v>
      </c>
      <c r="F200" s="360">
        <f>F201/F195</f>
        <v>0.17109581251398326</v>
      </c>
      <c r="G200" s="360">
        <f>G201/G195</f>
        <v>0.16765331657120569</v>
      </c>
      <c r="H200" s="361">
        <f>H201/H195</f>
        <v>0.20117989315577581</v>
      </c>
      <c r="I200" s="362">
        <f>AVERAGE(F200:H200)</f>
        <v>0.17997634074698823</v>
      </c>
      <c r="J200" s="360">
        <f>AVERAGE(G200:I200)</f>
        <v>0.18293651682465659</v>
      </c>
      <c r="K200" s="360">
        <f>AVERAGE(H200:J200)</f>
        <v>0.1880309169091402</v>
      </c>
      <c r="L200" s="360">
        <f>AVERAGE(I200:K200)</f>
        <v>0.18364792482692835</v>
      </c>
      <c r="M200" s="361">
        <f>AVERAGE(J200:L200)</f>
        <v>0.18487178618690839</v>
      </c>
      <c r="O200" s="222" t="s">
        <v>495</v>
      </c>
    </row>
    <row r="201" spans="1:35" ht="14.25" customHeight="1" x14ac:dyDescent="0.3">
      <c r="A201" s="223"/>
      <c r="B201" s="224" t="s">
        <v>496</v>
      </c>
      <c r="C201" s="225"/>
      <c r="D201" s="259"/>
      <c r="E201" s="279">
        <f>'INCOME STATEMENT'!D75</f>
        <v>143.19989999999999</v>
      </c>
      <c r="F201" s="279">
        <f>'INCOME STATEMENT'!E75</f>
        <v>183.53790000000001</v>
      </c>
      <c r="G201" s="279">
        <f>'INCOME STATEMENT'!F75</f>
        <v>309.39246000000003</v>
      </c>
      <c r="H201" s="280">
        <f>'INCOME STATEMENT'!G75</f>
        <v>467.71911000000006</v>
      </c>
      <c r="I201" s="281">
        <f>I200*I195</f>
        <v>362.84554411208808</v>
      </c>
      <c r="J201" s="279">
        <f>J200*J195</f>
        <v>449.99005353777386</v>
      </c>
      <c r="K201" s="279">
        <f>K200*K195</f>
        <v>602.16977566627827</v>
      </c>
      <c r="L201" s="279">
        <f>L200*L195</f>
        <v>722.49053064792759</v>
      </c>
      <c r="M201" s="280">
        <f>M200*M195</f>
        <v>897.21800511298636</v>
      </c>
      <c r="N201" s="223"/>
      <c r="O201" s="229"/>
    </row>
    <row r="202" spans="1:35" ht="14.25" customHeight="1" x14ac:dyDescent="0.3">
      <c r="A202" s="223"/>
      <c r="B202" s="277"/>
      <c r="C202" s="225"/>
      <c r="D202" s="259"/>
      <c r="E202" s="282"/>
      <c r="F202" s="282"/>
      <c r="G202" s="282"/>
      <c r="H202" s="350"/>
      <c r="I202" s="351"/>
      <c r="J202" s="282"/>
      <c r="K202" s="282"/>
      <c r="L202" s="282"/>
      <c r="M202" s="350"/>
      <c r="N202" s="223"/>
      <c r="O202" s="229"/>
    </row>
    <row r="203" spans="1:35" ht="14.25" customHeight="1" x14ac:dyDescent="0.3">
      <c r="A203" s="223"/>
      <c r="B203" s="224" t="s">
        <v>497</v>
      </c>
      <c r="C203" s="225"/>
      <c r="D203" s="259"/>
      <c r="E203" s="279">
        <f>'INCOME STATEMENT'!D76</f>
        <v>32.87547</v>
      </c>
      <c r="F203" s="279">
        <f>'INCOME STATEMENT'!E76</f>
        <v>138.35934</v>
      </c>
      <c r="G203" s="279">
        <f>'INCOME STATEMENT'!F76</f>
        <v>244.24659</v>
      </c>
      <c r="H203" s="280">
        <f>'INCOME STATEMENT'!G76</f>
        <v>54.657989999999998</v>
      </c>
      <c r="I203" s="281">
        <f>I198-I201</f>
        <v>241.97652739926423</v>
      </c>
      <c r="J203" s="279">
        <f>J198-J201</f>
        <v>287.95455372030506</v>
      </c>
      <c r="K203" s="279">
        <f>K198-K201</f>
        <v>358.58144370461446</v>
      </c>
      <c r="L203" s="279">
        <f>L198-L201</f>
        <v>457.74147795572514</v>
      </c>
      <c r="M203" s="280">
        <f>M198-M201</f>
        <v>558.73915896052597</v>
      </c>
      <c r="N203" s="223"/>
      <c r="O203" s="229"/>
    </row>
    <row r="204" spans="1:35" ht="14.25" customHeight="1" x14ac:dyDescent="0.3">
      <c r="A204" s="223"/>
      <c r="B204" s="277"/>
      <c r="C204" s="225"/>
      <c r="D204" s="259"/>
      <c r="E204" s="282"/>
      <c r="F204" s="282"/>
      <c r="G204" s="282"/>
      <c r="H204" s="350"/>
      <c r="I204" s="351"/>
      <c r="J204" s="282"/>
      <c r="K204" s="282"/>
      <c r="L204" s="282"/>
      <c r="M204" s="350"/>
      <c r="N204" s="223"/>
      <c r="O204" s="229"/>
    </row>
    <row r="205" spans="1:35" ht="14.25" customHeight="1" x14ac:dyDescent="0.3">
      <c r="B205" s="269"/>
      <c r="C205" s="269"/>
      <c r="D205" s="355"/>
      <c r="E205" s="274"/>
      <c r="F205" s="274"/>
      <c r="G205" s="274"/>
      <c r="H205" s="275"/>
      <c r="I205" s="273"/>
      <c r="J205" s="274"/>
      <c r="K205" s="274"/>
      <c r="L205" s="274"/>
      <c r="M205" s="275"/>
      <c r="O205" s="269"/>
    </row>
    <row r="206" spans="1:35" ht="14.25" customHeight="1" x14ac:dyDescent="0.3">
      <c r="A206" s="178"/>
      <c r="B206" s="179" t="s">
        <v>498</v>
      </c>
      <c r="C206" s="180"/>
      <c r="D206" s="356"/>
      <c r="E206" s="182"/>
      <c r="F206" s="182"/>
      <c r="G206" s="182"/>
      <c r="H206" s="183"/>
      <c r="I206" s="181"/>
      <c r="J206" s="182"/>
      <c r="K206" s="182"/>
      <c r="L206" s="182"/>
      <c r="M206" s="183"/>
      <c r="O206" s="184"/>
    </row>
    <row r="207" spans="1:35" ht="14.25" customHeight="1" x14ac:dyDescent="0.3">
      <c r="B207" s="277"/>
      <c r="C207" s="225"/>
      <c r="D207" s="259"/>
      <c r="H207" s="104"/>
      <c r="I207" s="103"/>
      <c r="M207" s="104"/>
      <c r="O207" s="148"/>
    </row>
    <row r="208" spans="1:35" ht="14.25" customHeight="1" x14ac:dyDescent="0.3">
      <c r="B208" s="201" t="s">
        <v>499</v>
      </c>
      <c r="C208" s="148"/>
      <c r="D208" s="259"/>
      <c r="E208" s="239">
        <f>'INCOME STATEMENT'!D53</f>
        <v>772.69000000000074</v>
      </c>
      <c r="F208" s="239">
        <f>'INCOME STATEMENT'!E53</f>
        <v>1429.3299999999995</v>
      </c>
      <c r="G208" s="239">
        <f>'INCOME STATEMENT'!F53</f>
        <v>2461.3799999999997</v>
      </c>
      <c r="H208" s="240">
        <f>'INCOME STATEMENT'!G53</f>
        <v>3109.2000000000003</v>
      </c>
      <c r="I208" s="238">
        <f>'INCOME STATEMENT'!H53</f>
        <v>2690.4874050668554</v>
      </c>
      <c r="J208" s="239">
        <f>'INCOME STATEMENT'!I53</f>
        <v>3284.3806356470081</v>
      </c>
      <c r="K208" s="239">
        <f>'INCOME STATEMENT'!J53</f>
        <v>4277.5727522157413</v>
      </c>
      <c r="L208" s="239">
        <f>'INCOME STATEMENT'!K53</f>
        <v>5252.5943754376258</v>
      </c>
      <c r="M208" s="240">
        <f>'INCOME STATEMENT'!L53</f>
        <v>6480.7132953749615</v>
      </c>
      <c r="N208" s="257"/>
      <c r="O208" s="148"/>
    </row>
    <row r="209" spans="1:35" ht="41.25" customHeight="1" x14ac:dyDescent="0.3">
      <c r="A209" s="185"/>
      <c r="B209" s="193" t="s">
        <v>500</v>
      </c>
      <c r="C209" s="306" t="s">
        <v>313</v>
      </c>
      <c r="D209" s="259"/>
      <c r="E209" s="246">
        <f>E210/E208</f>
        <v>0.24100221304792327</v>
      </c>
      <c r="F209" s="246">
        <f>F210/F208</f>
        <v>0.24949451841072401</v>
      </c>
      <c r="G209" s="246">
        <f>G210/G208</f>
        <v>0.25024579707318662</v>
      </c>
      <c r="H209" s="247">
        <f>H210/H208</f>
        <v>0.25225781551524501</v>
      </c>
      <c r="I209" s="248">
        <f>AVERAGE(F209:H209)</f>
        <v>0.25066604366638523</v>
      </c>
      <c r="J209" s="246">
        <f>AVERAGE(G209:I209)</f>
        <v>0.25105655208493899</v>
      </c>
      <c r="K209" s="246">
        <f>AVERAGE(H209:J209)</f>
        <v>0.25132680375552313</v>
      </c>
      <c r="L209" s="246">
        <f>AVERAGE(I209:K209)</f>
        <v>0.25101646650228249</v>
      </c>
      <c r="M209" s="247">
        <f>AVERAGE(J209:L209)</f>
        <v>0.25113327411424818</v>
      </c>
      <c r="N209" s="369"/>
      <c r="O209" s="308" t="s">
        <v>501</v>
      </c>
      <c r="P209" s="185"/>
      <c r="Q209" s="185"/>
      <c r="R209" s="185"/>
      <c r="S209" s="185"/>
      <c r="T209" s="185"/>
      <c r="U209" s="185"/>
      <c r="V209" s="185"/>
      <c r="W209" s="185"/>
      <c r="X209" s="185"/>
      <c r="Y209" s="185"/>
      <c r="Z209" s="185"/>
      <c r="AA209" s="185"/>
      <c r="AB209" s="185"/>
      <c r="AC209" s="185"/>
      <c r="AD209" s="185"/>
      <c r="AE209" s="185"/>
      <c r="AF209" s="185"/>
      <c r="AG209" s="185"/>
      <c r="AH209" s="185"/>
      <c r="AI209" s="185"/>
    </row>
    <row r="210" spans="1:35" ht="14.25" customHeight="1" x14ac:dyDescent="0.3">
      <c r="B210" s="201" t="s">
        <v>502</v>
      </c>
      <c r="C210" s="148"/>
      <c r="D210" s="259"/>
      <c r="E210" s="239">
        <f>'INCOME STATEMENT'!D58</f>
        <v>186.22</v>
      </c>
      <c r="F210" s="239">
        <f>'INCOME STATEMENT'!E58</f>
        <v>356.61</v>
      </c>
      <c r="G210" s="239">
        <f>'INCOME STATEMENT'!F58</f>
        <v>615.95000000000005</v>
      </c>
      <c r="H210" s="240">
        <f>'INCOME STATEMENT'!G58</f>
        <v>784.31999999999994</v>
      </c>
      <c r="I210" s="238">
        <f>I209*I208</f>
        <v>674.41383336234787</v>
      </c>
      <c r="J210" s="239">
        <f>J209*J208</f>
        <v>824.56527812007812</v>
      </c>
      <c r="K210" s="239">
        <f>K209*K208</f>
        <v>1075.0686876460986</v>
      </c>
      <c r="L210" s="239">
        <f>L209*L208</f>
        <v>1318.4876800921163</v>
      </c>
      <c r="M210" s="240">
        <f>M209*M208</f>
        <v>1627.5227484632528</v>
      </c>
      <c r="N210" s="257"/>
      <c r="O210" s="148"/>
    </row>
    <row r="211" spans="1:35" ht="14.25" customHeight="1" x14ac:dyDescent="0.3">
      <c r="B211" s="148"/>
      <c r="C211" s="148"/>
      <c r="D211" s="259"/>
      <c r="E211" s="257"/>
      <c r="F211" s="257"/>
      <c r="G211" s="257"/>
      <c r="H211" s="287"/>
      <c r="I211" s="288"/>
      <c r="J211" s="257"/>
      <c r="K211" s="257"/>
      <c r="L211" s="257"/>
      <c r="M211" s="287"/>
      <c r="N211" s="257"/>
      <c r="O211" s="148"/>
    </row>
    <row r="212" spans="1:35" ht="27.75" customHeight="1" x14ac:dyDescent="0.3">
      <c r="B212" s="201" t="s">
        <v>503</v>
      </c>
      <c r="C212" s="148"/>
      <c r="D212" s="259"/>
      <c r="E212" s="239">
        <f>'INCOME STATEMENT'!D55</f>
        <v>209.44</v>
      </c>
      <c r="F212" s="239">
        <f>'INCOME STATEMENT'!E55</f>
        <v>358.87</v>
      </c>
      <c r="G212" s="239">
        <f>'INCOME STATEMENT'!F55</f>
        <v>763.88</v>
      </c>
      <c r="H212" s="240">
        <f>'INCOME STATEMENT'!G55</f>
        <v>862.79</v>
      </c>
      <c r="I212" s="238">
        <f>I210-I213</f>
        <v>772.39391510279813</v>
      </c>
      <c r="J212" s="239">
        <f>J210-J213</f>
        <v>811.32642620646766</v>
      </c>
      <c r="K212" s="239">
        <f>K210-K213</f>
        <v>1065.9858086028503</v>
      </c>
      <c r="L212" s="239">
        <f>L210-L213</f>
        <v>1312.8544084522302</v>
      </c>
      <c r="M212" s="240">
        <f>M210-M213</f>
        <v>1629.169608426691</v>
      </c>
      <c r="N212" s="257"/>
      <c r="O212" s="222" t="s">
        <v>504</v>
      </c>
    </row>
    <row r="213" spans="1:35" ht="27.75" customHeight="1" x14ac:dyDescent="0.3">
      <c r="B213" s="201" t="s">
        <v>505</v>
      </c>
      <c r="C213" s="148"/>
      <c r="D213" s="259"/>
      <c r="E213" s="239">
        <f>'INCOME STATEMENT'!D56</f>
        <v>-23.22</v>
      </c>
      <c r="F213" s="239">
        <f>'INCOME STATEMENT'!E56</f>
        <v>-3.27</v>
      </c>
      <c r="G213" s="239">
        <f>'INCOME STATEMENT'!F56</f>
        <v>-149.69</v>
      </c>
      <c r="H213" s="240">
        <f>'INCOME STATEMENT'!G56</f>
        <v>-78.47</v>
      </c>
      <c r="I213" s="238">
        <f>-I103</f>
        <v>-97.980081740450217</v>
      </c>
      <c r="J213" s="239">
        <f>-J103</f>
        <v>13.238851913610507</v>
      </c>
      <c r="K213" s="239">
        <f>-K103</f>
        <v>9.0828790432482531</v>
      </c>
      <c r="L213" s="239">
        <f>-L103</f>
        <v>5.6332716398861615</v>
      </c>
      <c r="M213" s="240">
        <f>-M103</f>
        <v>-1.6468599634381238</v>
      </c>
      <c r="N213" s="257"/>
      <c r="O213" s="222" t="s">
        <v>506</v>
      </c>
    </row>
    <row r="214" spans="1:35" ht="14.25" customHeight="1" x14ac:dyDescent="0.3">
      <c r="B214" s="201" t="s">
        <v>507</v>
      </c>
      <c r="C214" s="148"/>
      <c r="D214" s="259"/>
      <c r="E214" s="239">
        <f>'INCOME STATEMENT'!D57</f>
        <v>0</v>
      </c>
      <c r="F214" s="239">
        <f>'INCOME STATEMENT'!E57</f>
        <v>1.01</v>
      </c>
      <c r="G214" s="239">
        <f>'INCOME STATEMENT'!F57</f>
        <v>1.76</v>
      </c>
      <c r="H214" s="240">
        <f>'INCOME STATEMENT'!G57</f>
        <v>0</v>
      </c>
      <c r="I214" s="238">
        <v>0</v>
      </c>
      <c r="J214" s="239">
        <v>0</v>
      </c>
      <c r="K214" s="239">
        <v>0</v>
      </c>
      <c r="L214" s="239">
        <v>0</v>
      </c>
      <c r="M214" s="240">
        <v>0</v>
      </c>
      <c r="N214" s="257"/>
      <c r="O214" s="222" t="s">
        <v>508</v>
      </c>
    </row>
    <row r="215" spans="1:35" ht="14.25" customHeight="1" x14ac:dyDescent="0.3">
      <c r="B215" s="148"/>
      <c r="C215" s="148"/>
      <c r="D215" s="259"/>
      <c r="E215" s="257"/>
      <c r="F215" s="257"/>
      <c r="G215" s="257"/>
      <c r="H215" s="287"/>
      <c r="I215" s="288"/>
      <c r="J215" s="257"/>
      <c r="K215" s="257"/>
      <c r="L215" s="257"/>
      <c r="M215" s="287"/>
      <c r="N215" s="257"/>
      <c r="O215" s="148"/>
    </row>
    <row r="216" spans="1:35" ht="27.75" customHeight="1" x14ac:dyDescent="0.3">
      <c r="B216" s="201" t="s">
        <v>509</v>
      </c>
      <c r="C216" s="148"/>
      <c r="D216" s="259"/>
      <c r="E216" s="239">
        <f>'CASH FLOW STATEMENT '!D29</f>
        <v>-302.45</v>
      </c>
      <c r="F216" s="239">
        <f>'CASH FLOW STATEMENT '!E29</f>
        <v>-312.14999999999998</v>
      </c>
      <c r="G216" s="239">
        <f>'CASH FLOW STATEMENT '!F29</f>
        <v>-677.16</v>
      </c>
      <c r="H216" s="240">
        <f>'CASH FLOW STATEMENT '!G29</f>
        <v>-942.51</v>
      </c>
      <c r="I216" s="238">
        <f>-I217*I208</f>
        <v>-714.44893145733249</v>
      </c>
      <c r="J216" s="239">
        <f>-J217*J208</f>
        <v>-923.78252258897032</v>
      </c>
      <c r="K216" s="239">
        <f>-K217*K208</f>
        <v>-1211.9040957557411</v>
      </c>
      <c r="L216" s="239">
        <f>-L217*L208</f>
        <v>-1453.4409858984779</v>
      </c>
      <c r="M216" s="240">
        <f>-M217*M208</f>
        <v>-1817.3872132570707</v>
      </c>
      <c r="N216" s="257"/>
      <c r="O216" s="222" t="s">
        <v>510</v>
      </c>
    </row>
    <row r="217" spans="1:35" ht="14.25" customHeight="1" x14ac:dyDescent="0.3">
      <c r="B217" s="201" t="s">
        <v>511</v>
      </c>
      <c r="C217" s="306" t="s">
        <v>313</v>
      </c>
      <c r="D217" s="259"/>
      <c r="E217" s="360">
        <f>ABS(E216/E208)</f>
        <v>0.39142476284150141</v>
      </c>
      <c r="F217" s="360">
        <f>ABS(F216/F208)</f>
        <v>0.21838903542219087</v>
      </c>
      <c r="G217" s="360">
        <f>ABS(G216/G208)</f>
        <v>0.27511396046120473</v>
      </c>
      <c r="H217" s="361">
        <f>ABS(H216/H208)</f>
        <v>0.30313585488228478</v>
      </c>
      <c r="I217" s="362">
        <f>AVERAGE(F217:H217)</f>
        <v>0.26554628358856014</v>
      </c>
      <c r="J217" s="360">
        <f>AVERAGE(G217:I217)</f>
        <v>0.28126536631068322</v>
      </c>
      <c r="K217" s="360">
        <f>AVERAGE(H217:J217)</f>
        <v>0.28331583492717605</v>
      </c>
      <c r="L217" s="360">
        <f>AVERAGE(I217:K217)</f>
        <v>0.27670916160880649</v>
      </c>
      <c r="M217" s="361">
        <f>AVERAGE(J217:L217)</f>
        <v>0.28043012094888858</v>
      </c>
      <c r="N217" s="257"/>
      <c r="O217" s="148"/>
    </row>
    <row r="218" spans="1:35" ht="14.25" customHeight="1" x14ac:dyDescent="0.3">
      <c r="B218" s="269"/>
      <c r="C218" s="269"/>
      <c r="D218" s="355"/>
      <c r="E218" s="274"/>
      <c r="F218" s="274"/>
      <c r="G218" s="274"/>
      <c r="H218" s="275"/>
      <c r="I218" s="273"/>
      <c r="J218" s="274"/>
      <c r="K218" s="274"/>
      <c r="L218" s="274"/>
      <c r="M218" s="275"/>
      <c r="O218" s="269"/>
    </row>
    <row r="219" spans="1:35" ht="14.25" customHeight="1" x14ac:dyDescent="0.3">
      <c r="A219" s="178"/>
      <c r="B219" s="179" t="s">
        <v>512</v>
      </c>
      <c r="C219" s="180"/>
      <c r="D219" s="356"/>
      <c r="E219" s="182"/>
      <c r="F219" s="182"/>
      <c r="G219" s="182"/>
      <c r="H219" s="183"/>
      <c r="I219" s="181"/>
      <c r="J219" s="182"/>
      <c r="K219" s="182"/>
      <c r="L219" s="182"/>
      <c r="M219" s="183"/>
      <c r="O219" s="184"/>
    </row>
    <row r="220" spans="1:35" ht="14.25" customHeight="1" x14ac:dyDescent="0.3">
      <c r="B220" s="277"/>
      <c r="C220" s="225"/>
      <c r="D220" s="259"/>
      <c r="H220" s="104"/>
      <c r="I220" s="103"/>
      <c r="M220" s="104"/>
      <c r="O220" s="148"/>
    </row>
    <row r="221" spans="1:35" ht="14.25" customHeight="1" x14ac:dyDescent="0.3">
      <c r="B221" s="148"/>
      <c r="C221" s="148"/>
      <c r="D221" s="259"/>
      <c r="H221" s="104"/>
      <c r="I221" s="103"/>
      <c r="M221" s="104"/>
      <c r="O221" s="148"/>
    </row>
    <row r="222" spans="1:35" ht="14.25" customHeight="1" x14ac:dyDescent="0.3">
      <c r="B222" s="338" t="s">
        <v>513</v>
      </c>
      <c r="C222" s="339"/>
      <c r="D222" s="259"/>
      <c r="H222" s="104"/>
      <c r="I222" s="103"/>
      <c r="M222" s="104"/>
      <c r="O222" s="148"/>
    </row>
    <row r="223" spans="1:35" ht="14.25" customHeight="1" x14ac:dyDescent="0.3">
      <c r="B223" s="340" t="s">
        <v>514</v>
      </c>
      <c r="C223" s="341"/>
      <c r="D223" s="259"/>
      <c r="E223" s="239">
        <f>F160+(F163+'CASH FLOW STATEMENT '!D31+SUM('CASH FLOW STATEMENT '!E36,'CASH FLOW STATEMENT '!E39,'CASH FLOW STATEMENT '!E41,'CASH FLOW STATEMENT '!E46,'CASH FLOW STATEMENT '!E47,'CASH FLOW STATEMENT '!E49))/2</f>
        <v>12782.274999999998</v>
      </c>
      <c r="F223" s="239">
        <f>G160+(G163+'CASH FLOW STATEMENT '!E31+SUM('CASH FLOW STATEMENT '!F36,'CASH FLOW STATEMENT '!F39,'CASH FLOW STATEMENT '!F41,'CASH FLOW STATEMENT '!F46,'CASH FLOW STATEMENT '!F47,'CASH FLOW STATEMENT '!F49))/2</f>
        <v>13379.295000000002</v>
      </c>
      <c r="G223" s="239">
        <f>H160+(H163+'CASH FLOW STATEMENT '!F31+SUM('CASH FLOW STATEMENT '!G36,'CASH FLOW STATEMENT '!G39,'CASH FLOW STATEMENT '!G41,'CASH FLOW STATEMENT '!G46,'CASH FLOW STATEMENT '!G47,'CASH FLOW STATEMENT '!G49))/2</f>
        <v>13965.659999999996</v>
      </c>
      <c r="H223" s="240">
        <f>I160+(I163+'CASH FLOW STATEMENT '!G31+SUM('CASH FLOW STATEMENT '!H36,'CASH FLOW STATEMENT '!H39,'CASH FLOW STATEMENT '!H41,'CASH FLOW STATEMENT '!H46,'CASH FLOW STATEMENT '!H47,'CASH FLOW STATEMENT '!H49))/2</f>
        <v>17005.558333333334</v>
      </c>
      <c r="I223" s="238">
        <f>I160+(I163+'CASH FLOW STATEMENT '!H31+SUM('CASH FLOW STATEMENT '!I36,'CASH FLOW STATEMENT '!I39,'CASH FLOW STATEMENT '!I41,'CASH FLOW STATEMENT '!I46,'CASH FLOW STATEMENT '!I47))/2</f>
        <v>11599.568345588108</v>
      </c>
      <c r="J223" s="239">
        <f>J160+(J163+'CASH FLOW STATEMENT '!I31+SUM('CASH FLOW STATEMENT '!J36,'CASH FLOW STATEMENT '!J39,'CASH FLOW STATEMENT '!J41,'CASH FLOW STATEMENT '!J46,'CASH FLOW STATEMENT '!J47))/2</f>
        <v>11073.172828336687</v>
      </c>
      <c r="K223" s="239">
        <f>K160+(K163+'CASH FLOW STATEMENT '!J31+SUM('CASH FLOW STATEMENT '!K36,'CASH FLOW STATEMENT '!K39,'CASH FLOW STATEMENT '!K41,'CASH FLOW STATEMENT '!K46,'CASH FLOW STATEMENT '!K47))/2</f>
        <v>21318.582493860999</v>
      </c>
      <c r="L223" s="239">
        <f>L160+(L163+'CASH FLOW STATEMENT '!K31+SUM('CASH FLOW STATEMENT '!L36,'CASH FLOW STATEMENT '!L39,'CASH FLOW STATEMENT '!L41,'CASH FLOW STATEMENT '!L46,'CASH FLOW STATEMENT '!L47))/2</f>
        <v>32819.535283103323</v>
      </c>
      <c r="M223" s="240">
        <f>M160+(M163+'CASH FLOW STATEMENT '!L31+SUM('CASH FLOW STATEMENT '!M36,'CASH FLOW STATEMENT '!M39,'CASH FLOW STATEMENT '!M41,'CASH FLOW STATEMENT '!M46,'CASH FLOW STATEMENT '!M47))/2</f>
        <v>42269.288219471091</v>
      </c>
      <c r="O223" s="148"/>
    </row>
    <row r="224" spans="1:35" ht="41.25" customHeight="1" x14ac:dyDescent="0.3">
      <c r="A224" s="185"/>
      <c r="B224" s="345" t="s">
        <v>515</v>
      </c>
      <c r="C224" s="370" t="s">
        <v>516</v>
      </c>
      <c r="D224" s="259"/>
      <c r="E224" s="246">
        <f>E225/E223</f>
        <v>2.7184519187703291E-2</v>
      </c>
      <c r="F224" s="246">
        <f>F225/F223</f>
        <v>4.4977706224431098E-2</v>
      </c>
      <c r="G224" s="246">
        <f>G225/G223</f>
        <v>7.1203938804181133E-2</v>
      </c>
      <c r="H224" s="247">
        <f>H225/H223</f>
        <v>5.9147719838660594E-2</v>
      </c>
      <c r="I224" s="248">
        <v>6.8500000000000005E-2</v>
      </c>
      <c r="J224" s="246">
        <v>6.8500000000000005E-2</v>
      </c>
      <c r="K224" s="246">
        <v>6.8500000000000005E-2</v>
      </c>
      <c r="L224" s="246">
        <v>6.8500000000000005E-2</v>
      </c>
      <c r="M224" s="247">
        <v>6.8500000000000005E-2</v>
      </c>
      <c r="N224" s="185"/>
      <c r="O224" s="308" t="s">
        <v>517</v>
      </c>
      <c r="P224" s="185"/>
      <c r="Q224" s="185"/>
      <c r="R224" s="185"/>
      <c r="S224" s="185"/>
      <c r="T224" s="185"/>
      <c r="U224" s="185"/>
      <c r="V224" s="185"/>
      <c r="W224" s="185"/>
      <c r="X224" s="185"/>
      <c r="Y224" s="185"/>
      <c r="Z224" s="185"/>
      <c r="AA224" s="185"/>
      <c r="AB224" s="185"/>
      <c r="AC224" s="185"/>
      <c r="AD224" s="185"/>
      <c r="AE224" s="185"/>
      <c r="AF224" s="185"/>
      <c r="AG224" s="185"/>
      <c r="AH224" s="185"/>
      <c r="AI224" s="185"/>
    </row>
    <row r="225" spans="1:35" ht="14.25" customHeight="1" x14ac:dyDescent="0.3">
      <c r="A225" s="257"/>
      <c r="B225" s="340" t="s">
        <v>518</v>
      </c>
      <c r="C225" s="371"/>
      <c r="D225" s="259"/>
      <c r="E225" s="239">
        <f>'CASH FLOW STATEMENT '!D38</f>
        <v>347.48</v>
      </c>
      <c r="F225" s="239">
        <f>'CASH FLOW STATEMENT '!E38</f>
        <v>601.77</v>
      </c>
      <c r="G225" s="239">
        <f>'CASH FLOW STATEMENT '!F38</f>
        <v>994.41</v>
      </c>
      <c r="H225" s="240">
        <f>'CASH FLOW STATEMENT '!G38</f>
        <v>1005.84</v>
      </c>
      <c r="I225" s="238">
        <f>I223*I224</f>
        <v>794.5704316727855</v>
      </c>
      <c r="J225" s="239">
        <f>J223*J224</f>
        <v>758.5123387410631</v>
      </c>
      <c r="K225" s="239">
        <f>K223*K224</f>
        <v>1460.3229008294786</v>
      </c>
      <c r="L225" s="239">
        <f>L223*L224</f>
        <v>2248.1381668925778</v>
      </c>
      <c r="M225" s="240">
        <f>M223*M224</f>
        <v>2895.4462430337699</v>
      </c>
      <c r="N225" s="257"/>
      <c r="O225" s="260"/>
      <c r="P225" s="257"/>
      <c r="Q225" s="257"/>
      <c r="R225" s="257"/>
      <c r="S225" s="257"/>
      <c r="T225" s="257"/>
      <c r="U225" s="257"/>
      <c r="V225" s="257"/>
      <c r="W225" s="257"/>
      <c r="X225" s="257"/>
      <c r="Y225" s="257"/>
      <c r="Z225" s="257"/>
      <c r="AA225" s="257"/>
      <c r="AB225" s="257"/>
      <c r="AC225" s="257"/>
      <c r="AD225" s="257"/>
      <c r="AE225" s="257"/>
      <c r="AF225" s="257"/>
      <c r="AG225" s="257"/>
      <c r="AH225" s="257"/>
      <c r="AI225" s="257"/>
    </row>
    <row r="226" spans="1:35" ht="14.25" customHeight="1" x14ac:dyDescent="0.3">
      <c r="B226" s="343"/>
      <c r="C226" s="341"/>
      <c r="D226" s="259"/>
      <c r="H226" s="104"/>
      <c r="I226" s="103"/>
      <c r="M226" s="104"/>
      <c r="O226" s="148"/>
    </row>
    <row r="227" spans="1:35" ht="14.25" customHeight="1" x14ac:dyDescent="0.3">
      <c r="B227" s="338" t="s">
        <v>133</v>
      </c>
      <c r="C227" s="339"/>
      <c r="D227" s="259"/>
      <c r="H227" s="104"/>
      <c r="I227" s="103"/>
      <c r="M227" s="104"/>
      <c r="O227" s="148"/>
    </row>
    <row r="228" spans="1:35" ht="14.25" customHeight="1" x14ac:dyDescent="0.3">
      <c r="B228" s="340" t="s">
        <v>519</v>
      </c>
      <c r="C228" s="341"/>
      <c r="D228" s="259"/>
      <c r="E228" s="239">
        <f t="shared" ref="E228:M228" si="43">(E42+E47)/2</f>
        <v>5.82</v>
      </c>
      <c r="F228" s="239">
        <f t="shared" si="43"/>
        <v>8.84</v>
      </c>
      <c r="G228" s="239">
        <f t="shared" si="43"/>
        <v>11.295000000000002</v>
      </c>
      <c r="H228" s="240">
        <f t="shared" si="43"/>
        <v>18.440000000000005</v>
      </c>
      <c r="I228" s="238">
        <f t="shared" si="43"/>
        <v>23.330000000000002</v>
      </c>
      <c r="J228" s="239">
        <f t="shared" si="43"/>
        <v>29.33</v>
      </c>
      <c r="K228" s="239">
        <f t="shared" si="43"/>
        <v>35.33</v>
      </c>
      <c r="L228" s="239">
        <f t="shared" si="43"/>
        <v>41.33</v>
      </c>
      <c r="M228" s="240">
        <f t="shared" si="43"/>
        <v>47.33</v>
      </c>
      <c r="O228" s="148"/>
    </row>
    <row r="229" spans="1:35" ht="14.25" customHeight="1" x14ac:dyDescent="0.3">
      <c r="A229" s="243"/>
      <c r="B229" s="345" t="s">
        <v>520</v>
      </c>
      <c r="C229" s="372"/>
      <c r="D229" s="259"/>
      <c r="E229" s="246">
        <f t="shared" ref="E229:M229" si="44">E230/E228</f>
        <v>0.53264604810996563</v>
      </c>
      <c r="F229" s="246">
        <f t="shared" si="44"/>
        <v>0.17533936651583712</v>
      </c>
      <c r="G229" s="246">
        <f t="shared" si="44"/>
        <v>6.6401062416998669E-2</v>
      </c>
      <c r="H229" s="247">
        <f t="shared" si="44"/>
        <v>3.7960954446854657E-3</v>
      </c>
      <c r="I229" s="248">
        <f t="shared" si="44"/>
        <v>4.2863266180882979E-2</v>
      </c>
      <c r="J229" s="246">
        <f t="shared" si="44"/>
        <v>3.4094783498124788E-2</v>
      </c>
      <c r="K229" s="246">
        <f t="shared" si="44"/>
        <v>2.8304557033682426E-2</v>
      </c>
      <c r="L229" s="246">
        <f t="shared" si="44"/>
        <v>2.4195499637067505E-2</v>
      </c>
      <c r="M229" s="247">
        <f t="shared" si="44"/>
        <v>2.1128248468201986E-2</v>
      </c>
      <c r="N229" s="243"/>
      <c r="O229" s="373"/>
      <c r="P229" s="243"/>
      <c r="Q229" s="243"/>
      <c r="R229" s="243"/>
      <c r="S229" s="243"/>
      <c r="T229" s="243"/>
      <c r="U229" s="243"/>
      <c r="V229" s="243"/>
      <c r="W229" s="243"/>
      <c r="X229" s="243"/>
      <c r="Y229" s="243"/>
      <c r="Z229" s="243"/>
      <c r="AA229" s="243"/>
      <c r="AB229" s="243"/>
      <c r="AC229" s="243"/>
      <c r="AD229" s="243"/>
      <c r="AE229" s="243"/>
      <c r="AF229" s="243"/>
      <c r="AG229" s="243"/>
      <c r="AH229" s="243"/>
      <c r="AI229" s="243"/>
    </row>
    <row r="230" spans="1:35" ht="14.25" customHeight="1" x14ac:dyDescent="0.3">
      <c r="B230" s="340" t="s">
        <v>521</v>
      </c>
      <c r="C230" s="341"/>
      <c r="D230" s="259"/>
      <c r="E230" s="239">
        <f>'INCOME STATEMENT'!D38</f>
        <v>3.1</v>
      </c>
      <c r="F230" s="239">
        <f>'INCOME STATEMENT'!E38</f>
        <v>1.55</v>
      </c>
      <c r="G230" s="239">
        <f>'INCOME STATEMENT'!F38</f>
        <v>0.75</v>
      </c>
      <c r="H230" s="240">
        <f>'INCOME STATEMENT'!G38</f>
        <v>7.0000000000000007E-2</v>
      </c>
      <c r="I230" s="238">
        <f>I44</f>
        <v>1</v>
      </c>
      <c r="J230" s="239">
        <f>J44</f>
        <v>1</v>
      </c>
      <c r="K230" s="239">
        <f>K44</f>
        <v>1</v>
      </c>
      <c r="L230" s="239">
        <f>L44</f>
        <v>1</v>
      </c>
      <c r="M230" s="240">
        <f>M44</f>
        <v>1</v>
      </c>
      <c r="O230" s="148"/>
    </row>
    <row r="231" spans="1:35" ht="14.25" customHeight="1" x14ac:dyDescent="0.3">
      <c r="B231" s="343"/>
      <c r="C231" s="341"/>
      <c r="D231" s="259"/>
      <c r="H231" s="104"/>
      <c r="I231" s="103"/>
      <c r="M231" s="104"/>
      <c r="O231" s="148"/>
    </row>
    <row r="232" spans="1:35" ht="14.25" customHeight="1" x14ac:dyDescent="0.3">
      <c r="B232" s="338" t="s">
        <v>522</v>
      </c>
      <c r="C232" s="339"/>
      <c r="D232" s="259"/>
      <c r="E232" s="257"/>
      <c r="F232" s="257"/>
      <c r="G232" s="257"/>
      <c r="H232" s="287"/>
      <c r="I232" s="288"/>
      <c r="J232" s="257"/>
      <c r="K232" s="257"/>
      <c r="L232" s="257"/>
      <c r="M232" s="287"/>
      <c r="O232" s="148"/>
    </row>
    <row r="233" spans="1:35" ht="14.25" customHeight="1" x14ac:dyDescent="0.3">
      <c r="B233" s="340" t="s">
        <v>523</v>
      </c>
      <c r="C233" s="341"/>
      <c r="D233" s="259"/>
      <c r="E233" s="239">
        <f t="shared" ref="E233:M233" si="45">D234</f>
        <v>23.26</v>
      </c>
      <c r="F233" s="239">
        <f t="shared" si="45"/>
        <v>26.89</v>
      </c>
      <c r="G233" s="239">
        <f t="shared" si="45"/>
        <v>27.5</v>
      </c>
      <c r="H233" s="240">
        <f t="shared" si="45"/>
        <v>27.13</v>
      </c>
      <c r="I233" s="238">
        <f t="shared" si="45"/>
        <v>27.33</v>
      </c>
      <c r="J233" s="239">
        <f t="shared" si="45"/>
        <v>27.319999999999997</v>
      </c>
      <c r="K233" s="239">
        <f t="shared" si="45"/>
        <v>27.259999999999994</v>
      </c>
      <c r="L233" s="239">
        <f t="shared" si="45"/>
        <v>27.303333333333327</v>
      </c>
      <c r="M233" s="240">
        <f t="shared" si="45"/>
        <v>27.294444444444441</v>
      </c>
      <c r="O233" s="222" t="s">
        <v>524</v>
      </c>
    </row>
    <row r="234" spans="1:35" ht="95.25" customHeight="1" x14ac:dyDescent="0.3">
      <c r="B234" s="340" t="s">
        <v>525</v>
      </c>
      <c r="C234" s="342" t="s">
        <v>313</v>
      </c>
      <c r="D234" s="238">
        <v>23.26</v>
      </c>
      <c r="E234" s="239">
        <v>26.89</v>
      </c>
      <c r="F234" s="239">
        <v>27.5</v>
      </c>
      <c r="G234" s="239">
        <v>27.13</v>
      </c>
      <c r="H234" s="240">
        <v>27.33</v>
      </c>
      <c r="I234" s="238">
        <f>AVERAGE(F234:H234)</f>
        <v>27.319999999999997</v>
      </c>
      <c r="J234" s="239">
        <f>AVERAGE(G234:I234)</f>
        <v>27.259999999999994</v>
      </c>
      <c r="K234" s="239">
        <f>AVERAGE(H234:J234)</f>
        <v>27.303333333333327</v>
      </c>
      <c r="L234" s="239">
        <f>AVERAGE(I234:K234)</f>
        <v>27.294444444444441</v>
      </c>
      <c r="M234" s="240">
        <f>AVERAGE(J234:L234)</f>
        <v>27.28592592592592</v>
      </c>
      <c r="O234" s="177" t="s">
        <v>526</v>
      </c>
    </row>
    <row r="235" spans="1:35" ht="14.25" customHeight="1" x14ac:dyDescent="0.3">
      <c r="B235" s="340" t="s">
        <v>527</v>
      </c>
      <c r="C235" s="341"/>
      <c r="D235" s="198"/>
      <c r="E235" s="239">
        <f t="shared" ref="E235:M235" si="46">AVERAGE(E233:E234)</f>
        <v>25.075000000000003</v>
      </c>
      <c r="F235" s="239">
        <f t="shared" si="46"/>
        <v>27.195</v>
      </c>
      <c r="G235" s="239">
        <f t="shared" si="46"/>
        <v>27.314999999999998</v>
      </c>
      <c r="H235" s="240">
        <f t="shared" si="46"/>
        <v>27.229999999999997</v>
      </c>
      <c r="I235" s="238">
        <f t="shared" si="46"/>
        <v>27.324999999999996</v>
      </c>
      <c r="J235" s="239">
        <f t="shared" si="46"/>
        <v>27.289999999999996</v>
      </c>
      <c r="K235" s="239">
        <f t="shared" si="46"/>
        <v>27.281666666666659</v>
      </c>
      <c r="L235" s="239">
        <f t="shared" si="46"/>
        <v>27.298888888888882</v>
      </c>
      <c r="M235" s="240">
        <f t="shared" si="46"/>
        <v>27.29018518518518</v>
      </c>
      <c r="O235" s="148"/>
    </row>
    <row r="236" spans="1:35" ht="41.25" customHeight="1" x14ac:dyDescent="0.3">
      <c r="A236" s="185"/>
      <c r="B236" s="345" t="s">
        <v>528</v>
      </c>
      <c r="C236" s="370" t="s">
        <v>313</v>
      </c>
      <c r="D236" s="307"/>
      <c r="E236" s="246">
        <f>E237/E235</f>
        <v>0.1587238285144566</v>
      </c>
      <c r="F236" s="246">
        <f>F237/F235</f>
        <v>0.17429674572531717</v>
      </c>
      <c r="G236" s="246">
        <f>G237/G235</f>
        <v>0.15852095917993778</v>
      </c>
      <c r="H236" s="247">
        <f>H237/H235</f>
        <v>0.15681233933161953</v>
      </c>
      <c r="I236" s="248">
        <f>AVERAGE(F236:H236)</f>
        <v>0.16321001474562483</v>
      </c>
      <c r="J236" s="246">
        <f>AVERAGE(G236:I236)</f>
        <v>0.15951443775239404</v>
      </c>
      <c r="K236" s="246">
        <f>AVERAGE(H236:J236)</f>
        <v>0.15984559727654613</v>
      </c>
      <c r="L236" s="246">
        <f>AVERAGE(I236:K236)</f>
        <v>0.16085668325818833</v>
      </c>
      <c r="M236" s="247">
        <f>AVERAGE(J236:L236)</f>
        <v>0.16007223942904283</v>
      </c>
      <c r="N236" s="185"/>
      <c r="O236" s="308" t="s">
        <v>529</v>
      </c>
      <c r="P236" s="185"/>
      <c r="Q236" s="185"/>
      <c r="R236" s="185"/>
      <c r="S236" s="185"/>
      <c r="T236" s="185"/>
      <c r="U236" s="185"/>
      <c r="V236" s="185"/>
      <c r="W236" s="185"/>
      <c r="X236" s="185"/>
      <c r="Y236" s="185"/>
      <c r="Z236" s="185"/>
      <c r="AA236" s="185"/>
      <c r="AB236" s="185"/>
      <c r="AC236" s="185"/>
      <c r="AD236" s="185"/>
      <c r="AE236" s="185"/>
      <c r="AF236" s="185"/>
      <c r="AG236" s="185"/>
      <c r="AH236" s="185"/>
      <c r="AI236" s="185"/>
    </row>
    <row r="237" spans="1:35" ht="14.25" customHeight="1" x14ac:dyDescent="0.3">
      <c r="B237" s="340" t="s">
        <v>530</v>
      </c>
      <c r="C237" s="341"/>
      <c r="D237" s="198"/>
      <c r="E237" s="239">
        <f>'INCOME STATEMENT'!D39</f>
        <v>3.98</v>
      </c>
      <c r="F237" s="239">
        <f>'INCOME STATEMENT'!E39</f>
        <v>4.74</v>
      </c>
      <c r="G237" s="239">
        <f>'INCOME STATEMENT'!F39</f>
        <v>4.33</v>
      </c>
      <c r="H237" s="240">
        <f>'INCOME STATEMENT'!G39</f>
        <v>4.2699999999999996</v>
      </c>
      <c r="I237" s="238">
        <f>I235*I236</f>
        <v>4.4597136529241981</v>
      </c>
      <c r="J237" s="239">
        <f>J235*J236</f>
        <v>4.3531490062628331</v>
      </c>
      <c r="K237" s="239">
        <f>K235*K236</f>
        <v>4.3608543030329709</v>
      </c>
      <c r="L237" s="239">
        <f>L235*L236</f>
        <v>4.3912087233004762</v>
      </c>
      <c r="M237" s="240">
        <f>M235*M236</f>
        <v>4.3684010570258796</v>
      </c>
      <c r="O237" s="148"/>
    </row>
    <row r="238" spans="1:35" ht="14.25" customHeight="1" x14ac:dyDescent="0.3">
      <c r="B238" s="343"/>
      <c r="C238" s="341"/>
      <c r="D238" s="198"/>
      <c r="H238" s="104"/>
      <c r="I238" s="103"/>
      <c r="M238" s="104"/>
      <c r="O238" s="148"/>
    </row>
    <row r="239" spans="1:35" ht="14.25" customHeight="1" x14ac:dyDescent="0.3">
      <c r="B239" s="338" t="s">
        <v>531</v>
      </c>
      <c r="C239" s="339"/>
      <c r="D239" s="198"/>
      <c r="H239" s="104"/>
      <c r="I239" s="103"/>
      <c r="M239" s="104"/>
      <c r="O239" s="148"/>
    </row>
    <row r="240" spans="1:35" ht="14.25" customHeight="1" x14ac:dyDescent="0.3">
      <c r="B240" s="340" t="s">
        <v>523</v>
      </c>
      <c r="C240" s="342" t="s">
        <v>313</v>
      </c>
      <c r="D240" s="259"/>
      <c r="E240" s="239">
        <f t="shared" ref="E240:M240" si="47">D241</f>
        <v>4.16</v>
      </c>
      <c r="F240" s="239">
        <f t="shared" si="47"/>
        <v>4.4400000000000004</v>
      </c>
      <c r="G240" s="239">
        <f t="shared" si="47"/>
        <v>4.8499999999999996</v>
      </c>
      <c r="H240" s="240">
        <f t="shared" si="47"/>
        <v>4.58</v>
      </c>
      <c r="I240" s="238">
        <f t="shared" si="47"/>
        <v>4.4800000000000004</v>
      </c>
      <c r="J240" s="239">
        <f t="shared" si="47"/>
        <v>4.6366666666666667</v>
      </c>
      <c r="K240" s="239">
        <f t="shared" si="47"/>
        <v>4.565555555555556</v>
      </c>
      <c r="L240" s="239">
        <f t="shared" si="47"/>
        <v>4.5607407407407408</v>
      </c>
      <c r="M240" s="240">
        <f t="shared" si="47"/>
        <v>4.5876543209876539</v>
      </c>
      <c r="O240" s="222" t="s">
        <v>532</v>
      </c>
    </row>
    <row r="241" spans="1:35" ht="81.75" customHeight="1" x14ac:dyDescent="0.3">
      <c r="B241" s="338" t="s">
        <v>525</v>
      </c>
      <c r="C241" s="339"/>
      <c r="D241" s="238">
        <v>4.16</v>
      </c>
      <c r="E241" s="239">
        <v>4.4400000000000004</v>
      </c>
      <c r="F241" s="239">
        <v>4.8499999999999996</v>
      </c>
      <c r="G241" s="239">
        <v>4.58</v>
      </c>
      <c r="H241" s="240">
        <v>4.4800000000000004</v>
      </c>
      <c r="I241" s="238">
        <f>AVERAGE(F241:H241)</f>
        <v>4.6366666666666667</v>
      </c>
      <c r="J241" s="239">
        <f>AVERAGE(G241:I241)</f>
        <v>4.565555555555556</v>
      </c>
      <c r="K241" s="239">
        <f>AVERAGE(H241:J241)</f>
        <v>4.5607407407407408</v>
      </c>
      <c r="L241" s="239">
        <f>AVERAGE(I241:K241)</f>
        <v>4.5876543209876539</v>
      </c>
      <c r="M241" s="240">
        <f>AVERAGE(J241:L241)</f>
        <v>4.5713168724279827</v>
      </c>
      <c r="O241" s="177" t="s">
        <v>533</v>
      </c>
    </row>
    <row r="242" spans="1:35" ht="14.25" customHeight="1" x14ac:dyDescent="0.3">
      <c r="B242" s="340" t="s">
        <v>527</v>
      </c>
      <c r="C242" s="341"/>
      <c r="D242" s="198"/>
      <c r="E242" s="239">
        <f t="shared" ref="E242:M242" si="48">AVERAGE(E240:E241)</f>
        <v>4.3000000000000007</v>
      </c>
      <c r="F242" s="239">
        <f t="shared" si="48"/>
        <v>4.6449999999999996</v>
      </c>
      <c r="G242" s="239">
        <f t="shared" si="48"/>
        <v>4.7149999999999999</v>
      </c>
      <c r="H242" s="240">
        <f t="shared" si="48"/>
        <v>4.53</v>
      </c>
      <c r="I242" s="238">
        <f t="shared" si="48"/>
        <v>4.5583333333333336</v>
      </c>
      <c r="J242" s="239">
        <f t="shared" si="48"/>
        <v>4.6011111111111109</v>
      </c>
      <c r="K242" s="239">
        <f t="shared" si="48"/>
        <v>4.563148148148148</v>
      </c>
      <c r="L242" s="239">
        <f t="shared" si="48"/>
        <v>4.5741975308641969</v>
      </c>
      <c r="M242" s="240">
        <f t="shared" si="48"/>
        <v>4.5794855967078183</v>
      </c>
      <c r="O242" s="148"/>
    </row>
    <row r="243" spans="1:35" ht="41.25" customHeight="1" x14ac:dyDescent="0.3">
      <c r="A243" s="185"/>
      <c r="B243" s="345" t="s">
        <v>528</v>
      </c>
      <c r="C243" s="342" t="s">
        <v>313</v>
      </c>
      <c r="D243" s="307"/>
      <c r="E243" s="246">
        <f>E244/E242</f>
        <v>1.8604651162790694E-2</v>
      </c>
      <c r="F243" s="246">
        <f>F244/F242</f>
        <v>1.2917115177610334E-2</v>
      </c>
      <c r="G243" s="246">
        <f>G244/G242</f>
        <v>8.483563096500531E-3</v>
      </c>
      <c r="H243" s="247">
        <f>H244/H242</f>
        <v>1.324503311258278E-2</v>
      </c>
      <c r="I243" s="248">
        <f>AVERAGE(F243:H243)</f>
        <v>1.1548570462231214E-2</v>
      </c>
      <c r="J243" s="246">
        <f>AVERAGE(G243:I243)</f>
        <v>1.1092388890438174E-2</v>
      </c>
      <c r="K243" s="246">
        <f>AVERAGE(H243:J243)</f>
        <v>1.196199748841739E-2</v>
      </c>
      <c r="L243" s="246">
        <f>AVERAGE(I243:K243)</f>
        <v>1.1534318947028928E-2</v>
      </c>
      <c r="M243" s="247">
        <f>AVERAGE(J243:L243)</f>
        <v>1.1529568441961497E-2</v>
      </c>
      <c r="N243" s="185"/>
      <c r="O243" s="308" t="s">
        <v>534</v>
      </c>
      <c r="P243" s="185"/>
      <c r="Q243" s="185"/>
      <c r="R243" s="185"/>
      <c r="S243" s="185"/>
      <c r="T243" s="185"/>
      <c r="U243" s="185"/>
      <c r="V243" s="185"/>
      <c r="W243" s="185"/>
      <c r="X243" s="185"/>
      <c r="Y243" s="185"/>
      <c r="Z243" s="185"/>
      <c r="AA243" s="185"/>
      <c r="AB243" s="185"/>
      <c r="AC243" s="185"/>
      <c r="AD243" s="185"/>
      <c r="AE243" s="185"/>
      <c r="AF243" s="185"/>
      <c r="AG243" s="185"/>
      <c r="AH243" s="185"/>
      <c r="AI243" s="185"/>
    </row>
    <row r="244" spans="1:35" ht="14.25" customHeight="1" x14ac:dyDescent="0.3">
      <c r="B244" s="340" t="s">
        <v>535</v>
      </c>
      <c r="C244" s="341"/>
      <c r="D244" s="198"/>
      <c r="E244" s="239">
        <v>0.08</v>
      </c>
      <c r="F244" s="239">
        <v>0.06</v>
      </c>
      <c r="G244" s="239">
        <v>0.04</v>
      </c>
      <c r="H244" s="240">
        <v>0.06</v>
      </c>
      <c r="I244" s="238">
        <f>I242*I243</f>
        <v>5.2642233690337291E-2</v>
      </c>
      <c r="J244" s="239">
        <f>J242*J243</f>
        <v>5.103731377256053E-2</v>
      </c>
      <c r="K244" s="239">
        <f>K242*K243</f>
        <v>5.4584366687424613E-2</v>
      </c>
      <c r="L244" s="239">
        <f>L242*L243</f>
        <v>5.2760253247699847E-2</v>
      </c>
      <c r="M244" s="240">
        <f>M242*M243</f>
        <v>5.2799492616219676E-2</v>
      </c>
      <c r="O244" s="148"/>
    </row>
    <row r="245" spans="1:35" ht="14.25" customHeight="1" x14ac:dyDescent="0.3">
      <c r="B245" s="343"/>
      <c r="C245" s="341"/>
      <c r="D245" s="198"/>
      <c r="H245" s="104"/>
      <c r="I245" s="103"/>
      <c r="M245" s="104"/>
      <c r="O245" s="148"/>
    </row>
    <row r="246" spans="1:35" ht="14.25" customHeight="1" x14ac:dyDescent="0.3">
      <c r="B246" s="340" t="s">
        <v>132</v>
      </c>
      <c r="C246" s="341"/>
      <c r="D246" s="198"/>
      <c r="E246" s="239">
        <f>'INCOME STATEMENT'!D41</f>
        <v>0</v>
      </c>
      <c r="F246" s="239">
        <f>'INCOME STATEMENT'!E41</f>
        <v>0.02</v>
      </c>
      <c r="G246" s="239">
        <f>'INCOME STATEMENT'!F41</f>
        <v>0</v>
      </c>
      <c r="H246" s="240">
        <f>'INCOME STATEMENT'!G41</f>
        <v>0</v>
      </c>
      <c r="I246" s="238">
        <v>0</v>
      </c>
      <c r="J246" s="239">
        <v>0</v>
      </c>
      <c r="K246" s="239">
        <v>0</v>
      </c>
      <c r="L246" s="239">
        <v>0</v>
      </c>
      <c r="M246" s="240">
        <v>0</v>
      </c>
      <c r="O246" s="148"/>
    </row>
    <row r="247" spans="1:35" ht="14.25" customHeight="1" x14ac:dyDescent="0.3">
      <c r="B247" s="343"/>
      <c r="C247" s="341"/>
      <c r="D247" s="198"/>
      <c r="H247" s="104"/>
      <c r="I247" s="103"/>
      <c r="M247" s="104"/>
      <c r="O247" s="148"/>
    </row>
    <row r="248" spans="1:35" ht="14.25" customHeight="1" x14ac:dyDescent="0.3">
      <c r="B248" s="338" t="s">
        <v>536</v>
      </c>
      <c r="C248" s="339"/>
      <c r="D248" s="198"/>
      <c r="E248" s="239">
        <f t="shared" ref="E248:M248" si="49">E230+E237+E244+E246</f>
        <v>7.16</v>
      </c>
      <c r="F248" s="239">
        <f t="shared" si="49"/>
        <v>6.3699999999999992</v>
      </c>
      <c r="G248" s="239">
        <f t="shared" si="49"/>
        <v>5.12</v>
      </c>
      <c r="H248" s="240">
        <f t="shared" si="49"/>
        <v>4.3999999999999995</v>
      </c>
      <c r="I248" s="238">
        <f t="shared" si="49"/>
        <v>5.512355886614535</v>
      </c>
      <c r="J248" s="239">
        <f t="shared" si="49"/>
        <v>5.4041863200353939</v>
      </c>
      <c r="K248" s="239">
        <f t="shared" si="49"/>
        <v>5.4154386697203956</v>
      </c>
      <c r="L248" s="239">
        <f t="shared" si="49"/>
        <v>5.4439689765481765</v>
      </c>
      <c r="M248" s="240">
        <f t="shared" si="49"/>
        <v>5.4212005496420996</v>
      </c>
      <c r="O248" s="148"/>
    </row>
    <row r="249" spans="1:35" ht="14.25" customHeight="1" x14ac:dyDescent="0.3">
      <c r="A249" s="363"/>
      <c r="B249" s="231" t="s">
        <v>537</v>
      </c>
      <c r="C249" s="232"/>
      <c r="D249" s="268"/>
      <c r="E249" s="284">
        <f>ROUNDDOWN(E248+'INCOME STATEMENT'!D42,0)</f>
        <v>0</v>
      </c>
      <c r="F249" s="284">
        <f>ROUNDDOWN(F248+'INCOME STATEMENT'!E42,0)</f>
        <v>0</v>
      </c>
      <c r="G249" s="284">
        <f>ROUNDDOWN(G248+'INCOME STATEMENT'!F42,0)</f>
        <v>0</v>
      </c>
      <c r="H249" s="285">
        <f>ROUNDDOWN(H248+'INCOME STATEMENT'!G42,0)</f>
        <v>0</v>
      </c>
      <c r="I249" s="286">
        <f>ROUNDDOWN(I248+'INCOME STATEMENT'!H42,0)</f>
        <v>0</v>
      </c>
      <c r="J249" s="284">
        <f>ROUNDDOWN(J248+'INCOME STATEMENT'!I42,0)</f>
        <v>0</v>
      </c>
      <c r="K249" s="284">
        <f>ROUNDDOWN(K248+'INCOME STATEMENT'!J42,0)</f>
        <v>0</v>
      </c>
      <c r="L249" s="284">
        <f>ROUNDDOWN(L248+'INCOME STATEMENT'!K42,0)</f>
        <v>0</v>
      </c>
      <c r="M249" s="285">
        <f>ROUNDDOWN(M248+'INCOME STATEMENT'!L42,0)</f>
        <v>0</v>
      </c>
      <c r="N249" s="282"/>
      <c r="O249" s="237"/>
      <c r="P249" s="363"/>
      <c r="Q249" s="363"/>
      <c r="R249" s="363"/>
      <c r="S249" s="363"/>
      <c r="T249" s="363"/>
      <c r="U249" s="363"/>
      <c r="V249" s="363"/>
      <c r="W249" s="363"/>
      <c r="X249" s="363"/>
      <c r="Y249" s="363"/>
      <c r="Z249" s="363"/>
      <c r="AA249" s="363"/>
      <c r="AB249" s="363"/>
      <c r="AC249" s="363"/>
      <c r="AD249" s="363"/>
      <c r="AE249" s="363"/>
      <c r="AF249" s="363"/>
      <c r="AG249" s="363"/>
      <c r="AH249" s="363"/>
      <c r="AI249" s="363"/>
    </row>
    <row r="250" spans="1:35" ht="14.25" customHeight="1" x14ac:dyDescent="0.3">
      <c r="B250" s="269"/>
      <c r="C250" s="269"/>
      <c r="D250" s="273"/>
      <c r="E250" s="274"/>
      <c r="F250" s="274"/>
      <c r="G250" s="274"/>
      <c r="H250" s="275"/>
      <c r="I250" s="273"/>
      <c r="J250" s="274"/>
      <c r="K250" s="274"/>
      <c r="L250" s="274"/>
      <c r="M250" s="275"/>
      <c r="O250" s="269"/>
    </row>
    <row r="251" spans="1:35" ht="14.25" customHeight="1" x14ac:dyDescent="0.3">
      <c r="A251" s="178"/>
      <c r="B251" s="179" t="s">
        <v>538</v>
      </c>
      <c r="C251" s="180"/>
      <c r="D251" s="356"/>
      <c r="E251" s="182"/>
      <c r="F251" s="182"/>
      <c r="G251" s="182"/>
      <c r="H251" s="183"/>
      <c r="I251" s="181"/>
      <c r="J251" s="182"/>
      <c r="K251" s="182"/>
      <c r="L251" s="182"/>
      <c r="M251" s="183"/>
      <c r="O251" s="184"/>
    </row>
    <row r="252" spans="1:35" ht="14.25" customHeight="1" x14ac:dyDescent="0.3">
      <c r="A252" s="374"/>
      <c r="B252" s="375"/>
      <c r="C252" s="296"/>
      <c r="D252" s="376"/>
      <c r="E252" s="377"/>
      <c r="F252" s="377"/>
      <c r="G252" s="377"/>
      <c r="H252" s="378"/>
      <c r="I252" s="379"/>
      <c r="J252" s="377"/>
      <c r="K252" s="377"/>
      <c r="L252" s="377"/>
      <c r="M252" s="378"/>
      <c r="N252" s="380"/>
      <c r="O252" s="381"/>
    </row>
    <row r="253" spans="1:35" ht="14.25" customHeight="1" x14ac:dyDescent="0.3">
      <c r="A253" s="382"/>
      <c r="B253" s="201" t="s">
        <v>539</v>
      </c>
      <c r="C253" s="148"/>
      <c r="D253" s="383"/>
      <c r="E253" s="239">
        <f t="shared" ref="E253:M253" si="50">D257</f>
        <v>14176.08</v>
      </c>
      <c r="F253" s="239">
        <f t="shared" si="50"/>
        <v>18707.47</v>
      </c>
      <c r="G253" s="239">
        <f t="shared" si="50"/>
        <v>19332.440000000002</v>
      </c>
      <c r="H253" s="240">
        <f t="shared" si="50"/>
        <v>17722.43</v>
      </c>
      <c r="I253" s="238">
        <f t="shared" si="50"/>
        <v>15494.39</v>
      </c>
      <c r="J253" s="239">
        <f t="shared" si="50"/>
        <v>8082.3732637920402</v>
      </c>
      <c r="K253" s="239">
        <f t="shared" si="50"/>
        <v>14258.638277120635</v>
      </c>
      <c r="L253" s="239">
        <f t="shared" si="50"/>
        <v>24190.654247200917</v>
      </c>
      <c r="M253" s="240">
        <f t="shared" si="50"/>
        <v>33175.293400258</v>
      </c>
      <c r="O253" s="304"/>
    </row>
    <row r="254" spans="1:35" ht="14.25" customHeight="1" x14ac:dyDescent="0.3">
      <c r="A254" s="382"/>
      <c r="B254" s="201" t="s">
        <v>540</v>
      </c>
      <c r="C254" s="148"/>
      <c r="D254" s="383"/>
      <c r="E254" s="239">
        <v>10249</v>
      </c>
      <c r="F254" s="239">
        <v>8209</v>
      </c>
      <c r="G254" s="239">
        <v>7458</v>
      </c>
      <c r="H254" s="240">
        <v>8968</v>
      </c>
      <c r="I254" s="238">
        <f>I255*'ORDER BOOK SCHEDULE'!H10</f>
        <v>4980.1568935803234</v>
      </c>
      <c r="J254" s="239">
        <f>J255*'ORDER BOOK SCHEDULE'!I10</f>
        <v>19475.362618303941</v>
      </c>
      <c r="K254" s="239">
        <f>K255*'ORDER BOOK SCHEDULE'!J10</f>
        <v>24403.554372201434</v>
      </c>
      <c r="L254" s="239">
        <f>L255*'ORDER BOOK SCHEDULE'!K10</f>
        <v>25382.674866347556</v>
      </c>
      <c r="M254" s="240">
        <f>M255*'ORDER BOOK SCHEDULE'!L10</f>
        <v>24739.777000422095</v>
      </c>
      <c r="O254" s="304"/>
    </row>
    <row r="255" spans="1:35" s="185" customFormat="1" ht="41.25" customHeight="1" x14ac:dyDescent="0.3">
      <c r="A255" s="384"/>
      <c r="B255" s="193" t="s">
        <v>541</v>
      </c>
      <c r="C255" s="306" t="s">
        <v>542</v>
      </c>
      <c r="D255" s="385"/>
      <c r="E255" s="246">
        <f>E254/'ORDER BOOK SCHEDULE'!D10</f>
        <v>0.22341631425208178</v>
      </c>
      <c r="F255" s="246">
        <f>F254/'ORDER BOOK SCHEDULE'!E10</f>
        <v>0.21181782995742485</v>
      </c>
      <c r="G255" s="246">
        <f>G254/'ORDER BOOK SCHEDULE'!F10</f>
        <v>0.19340784730686444</v>
      </c>
      <c r="H255" s="247">
        <f>H254/'ORDER BOOK SCHEDULE'!G10</f>
        <v>0.27799132052076875</v>
      </c>
      <c r="I255" s="248">
        <f>AVERAGE(F255:H255)</f>
        <v>0.22773899926168598</v>
      </c>
      <c r="J255" s="246">
        <f>AVERAGE(G255:I255)</f>
        <v>0.23304605569643974</v>
      </c>
      <c r="K255" s="246">
        <f>AVERAGE(H255:J255)</f>
        <v>0.24625879182629817</v>
      </c>
      <c r="L255" s="246">
        <f>AVERAGE(I255:K255)</f>
        <v>0.23568128226147464</v>
      </c>
      <c r="M255" s="247">
        <f>AVERAGE(J255:L255)</f>
        <v>0.23832870992807087</v>
      </c>
      <c r="O255" s="308" t="s">
        <v>543</v>
      </c>
    </row>
    <row r="256" spans="1:35" ht="14.25" customHeight="1" x14ac:dyDescent="0.3">
      <c r="A256" s="382"/>
      <c r="B256" s="201" t="s">
        <v>544</v>
      </c>
      <c r="C256" s="148"/>
      <c r="D256" s="383"/>
      <c r="E256" s="239">
        <f>-SUM('INCOME STATEMENT'!D3:D7)</f>
        <v>-5717.6100000000006</v>
      </c>
      <c r="F256" s="239">
        <f>-SUM('INCOME STATEMENT'!E3:E7)</f>
        <v>-7584.0300000000007</v>
      </c>
      <c r="G256" s="239">
        <f>-SUM('INCOME STATEMENT'!F3:F7)</f>
        <v>-9068.01</v>
      </c>
      <c r="H256" s="240">
        <f>-SUM('INCOME STATEMENT'!G3:G7)</f>
        <v>-11196.04</v>
      </c>
      <c r="I256" s="238">
        <f>-SUM('INCOME STATEMENT'!H3:H7)</f>
        <v>-12392.173629788282</v>
      </c>
      <c r="J256" s="239">
        <f>-SUM('INCOME STATEMENT'!I3:I7)</f>
        <v>-13299.097604975346</v>
      </c>
      <c r="K256" s="239">
        <f>-SUM('INCOME STATEMENT'!J3:J7)</f>
        <v>-14471.53840212115</v>
      </c>
      <c r="L256" s="239">
        <f>-SUM('INCOME STATEMENT'!K3:K7)</f>
        <v>-16398.035713290476</v>
      </c>
      <c r="M256" s="240">
        <f>-SUM('INCOME STATEMENT'!L3:L7)</f>
        <v>-18893.880799734601</v>
      </c>
      <c r="O256" s="304"/>
    </row>
    <row r="257" spans="1:35" ht="14.25" customHeight="1" x14ac:dyDescent="0.3">
      <c r="A257" s="382"/>
      <c r="B257" s="201" t="s">
        <v>545</v>
      </c>
      <c r="C257" s="148"/>
      <c r="D257" s="238">
        <f>'BALANCE SHEET'!C65</f>
        <v>14176.08</v>
      </c>
      <c r="E257" s="239">
        <f t="shared" ref="E257:M257" si="51">SUM(E253:E254,E256)</f>
        <v>18707.47</v>
      </c>
      <c r="F257" s="239">
        <f t="shared" si="51"/>
        <v>19332.440000000002</v>
      </c>
      <c r="G257" s="239">
        <f t="shared" si="51"/>
        <v>17722.43</v>
      </c>
      <c r="H257" s="240">
        <f t="shared" si="51"/>
        <v>15494.39</v>
      </c>
      <c r="I257" s="238">
        <f t="shared" si="51"/>
        <v>8082.3732637920402</v>
      </c>
      <c r="J257" s="239">
        <f t="shared" si="51"/>
        <v>14258.638277120635</v>
      </c>
      <c r="K257" s="239">
        <f t="shared" si="51"/>
        <v>24190.654247200917</v>
      </c>
      <c r="L257" s="239">
        <f t="shared" si="51"/>
        <v>33175.293400258</v>
      </c>
      <c r="M257" s="240">
        <f t="shared" si="51"/>
        <v>39021.189600945494</v>
      </c>
      <c r="O257" s="304"/>
    </row>
    <row r="258" spans="1:35" ht="14.25" customHeight="1" x14ac:dyDescent="0.3">
      <c r="A258" s="386"/>
      <c r="B258" s="387" t="s">
        <v>537</v>
      </c>
      <c r="C258" s="388"/>
      <c r="D258" s="270"/>
      <c r="E258" s="389">
        <f>ROUNDDOWN(E257-'BALANCE SHEET'!D65,0)</f>
        <v>0</v>
      </c>
      <c r="F258" s="389">
        <f>ROUNDDOWN(F257-'BALANCE SHEET'!E65,0)</f>
        <v>0</v>
      </c>
      <c r="G258" s="389">
        <f>ROUNDDOWN(G257-'BALANCE SHEET'!F65,0)</f>
        <v>0</v>
      </c>
      <c r="H258" s="390">
        <f>ROUNDDOWN(H257-'BALANCE SHEET'!G65,0)</f>
        <v>0</v>
      </c>
      <c r="I258" s="391">
        <f>ROUNDDOWN(I257-'BALANCE SHEET'!H65,0)</f>
        <v>0</v>
      </c>
      <c r="J258" s="389">
        <f>ROUNDDOWN(J257-'BALANCE SHEET'!I65,0)</f>
        <v>0</v>
      </c>
      <c r="K258" s="389">
        <f>ROUNDDOWN(K257-'BALANCE SHEET'!J65,0)</f>
        <v>0</v>
      </c>
      <c r="L258" s="389">
        <f>ROUNDDOWN(L257-'BALANCE SHEET'!K65,0)</f>
        <v>0</v>
      </c>
      <c r="M258" s="390">
        <f>ROUNDDOWN(M257-'BALANCE SHEET'!L65,0)</f>
        <v>0</v>
      </c>
      <c r="N258" s="366"/>
      <c r="O258" s="392"/>
      <c r="P258" s="363"/>
      <c r="Q258" s="363"/>
      <c r="R258" s="363"/>
      <c r="S258" s="363"/>
      <c r="T258" s="363"/>
      <c r="U258" s="363"/>
      <c r="V258" s="363"/>
      <c r="W258" s="363"/>
      <c r="X258" s="363"/>
      <c r="Y258" s="363"/>
      <c r="Z258" s="363"/>
      <c r="AA258" s="363"/>
      <c r="AB258" s="363"/>
      <c r="AC258" s="363"/>
      <c r="AD258" s="363"/>
      <c r="AE258" s="363"/>
      <c r="AF258" s="363"/>
      <c r="AG258" s="363"/>
      <c r="AH258" s="363"/>
      <c r="AI258" s="363"/>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Z1000"/>
  <sheetViews>
    <sheetView showGridLines="0" zoomScaleNormal="100" workbookViewId="0">
      <pane xSplit="4" ySplit="2" topLeftCell="E3" activePane="bottomRight" state="frozen"/>
      <selection pane="topRight" activeCell="E1" sqref="E1"/>
      <selection pane="bottomLeft" activeCell="A3" sqref="A3"/>
      <selection pane="bottomRight" activeCell="C60" sqref="C60"/>
    </sheetView>
  </sheetViews>
  <sheetFormatPr defaultColWidth="12.6640625" defaultRowHeight="14.4" x14ac:dyDescent="0.3"/>
  <cols>
    <col min="1" max="1" width="3" style="162" customWidth="1"/>
    <col min="2" max="2" width="3.44140625" style="162" customWidth="1"/>
    <col min="3" max="3" width="37.109375" style="165" customWidth="1"/>
    <col min="4" max="4" width="41.77734375" style="165" customWidth="1"/>
    <col min="5" max="9" width="9.33203125" style="162" customWidth="1"/>
    <col min="10" max="14" width="13.44140625" style="162" customWidth="1"/>
    <col min="15" max="15" width="3" style="162" customWidth="1"/>
    <col min="16" max="16" width="255.77734375" style="162" customWidth="1"/>
    <col min="17" max="26" width="8.44140625" style="162" customWidth="1"/>
    <col min="27" max="16384" width="12.6640625" style="162"/>
  </cols>
  <sheetData>
    <row r="1" spans="1:26" ht="14.25" customHeight="1" x14ac:dyDescent="0.3">
      <c r="D1" s="393"/>
      <c r="E1" s="394" t="s">
        <v>98</v>
      </c>
      <c r="F1" s="395" t="s">
        <v>98</v>
      </c>
      <c r="G1" s="395" t="s">
        <v>98</v>
      </c>
      <c r="H1" s="395" t="s">
        <v>98</v>
      </c>
      <c r="I1" s="396" t="s">
        <v>98</v>
      </c>
      <c r="J1" s="397" t="s">
        <v>99</v>
      </c>
      <c r="K1" s="398" t="s">
        <v>99</v>
      </c>
      <c r="L1" s="398" t="s">
        <v>99</v>
      </c>
      <c r="M1" s="398" t="s">
        <v>99</v>
      </c>
      <c r="N1" s="399" t="s">
        <v>99</v>
      </c>
      <c r="P1" s="165"/>
    </row>
    <row r="2" spans="1:26" ht="14.25" customHeight="1" x14ac:dyDescent="0.3">
      <c r="B2" s="400" t="s">
        <v>546</v>
      </c>
      <c r="C2" s="401" t="s">
        <v>305</v>
      </c>
      <c r="D2" s="402" t="s">
        <v>306</v>
      </c>
      <c r="E2" s="403">
        <v>44286</v>
      </c>
      <c r="F2" s="404">
        <v>44651</v>
      </c>
      <c r="G2" s="404">
        <v>45016</v>
      </c>
      <c r="H2" s="404">
        <v>45382</v>
      </c>
      <c r="I2" s="405">
        <v>45747</v>
      </c>
      <c r="J2" s="403">
        <v>46112</v>
      </c>
      <c r="K2" s="404">
        <v>46477</v>
      </c>
      <c r="L2" s="404">
        <v>46843</v>
      </c>
      <c r="M2" s="404">
        <v>47208</v>
      </c>
      <c r="N2" s="405">
        <v>47573</v>
      </c>
      <c r="O2" s="380"/>
      <c r="P2" s="406" t="s">
        <v>307</v>
      </c>
    </row>
    <row r="3" spans="1:26" ht="14.25" customHeight="1" x14ac:dyDescent="0.3">
      <c r="B3" s="407"/>
      <c r="C3" s="408"/>
      <c r="D3" s="409"/>
      <c r="E3" s="410"/>
      <c r="F3" s="411"/>
      <c r="G3" s="411"/>
      <c r="H3" s="411"/>
      <c r="I3" s="412"/>
      <c r="J3" s="410"/>
      <c r="K3" s="411"/>
      <c r="L3" s="411"/>
      <c r="M3" s="411"/>
      <c r="N3" s="412"/>
      <c r="P3" s="408"/>
    </row>
    <row r="4" spans="1:26" ht="14.25" customHeight="1" x14ac:dyDescent="0.3">
      <c r="A4" s="178"/>
      <c r="B4" s="413"/>
      <c r="C4" s="414" t="s">
        <v>547</v>
      </c>
      <c r="D4" s="415"/>
      <c r="E4" s="416"/>
      <c r="F4" s="417"/>
      <c r="G4" s="417"/>
      <c r="H4" s="417"/>
      <c r="I4" s="418"/>
      <c r="J4" s="416"/>
      <c r="K4" s="417"/>
      <c r="L4" s="417"/>
      <c r="M4" s="417"/>
      <c r="N4" s="418"/>
      <c r="O4" s="178"/>
      <c r="P4" s="419"/>
    </row>
    <row r="5" spans="1:26" ht="57" customHeight="1" x14ac:dyDescent="0.3">
      <c r="B5" s="420">
        <v>1</v>
      </c>
      <c r="C5" s="421" t="s">
        <v>101</v>
      </c>
      <c r="D5" s="422" t="s">
        <v>548</v>
      </c>
      <c r="E5" s="423"/>
      <c r="F5" s="424">
        <f>'INCOME STATEMENT'!D3/'INCOME STATEMENT'!C3-1</f>
        <v>0.45226224812789861</v>
      </c>
      <c r="G5" s="424">
        <f>'INCOME STATEMENT'!E3/'INCOME STATEMENT'!D3-1</f>
        <v>0.53624898047582392</v>
      </c>
      <c r="H5" s="424">
        <f>'INCOME STATEMENT'!F3/'INCOME STATEMENT'!E3-1</f>
        <v>0.12897662169377222</v>
      </c>
      <c r="I5" s="425">
        <f>'INCOME STATEMENT'!G3/'INCOME STATEMENT'!F3-1</f>
        <v>0.11394316989253039</v>
      </c>
      <c r="J5" s="426">
        <v>0.12</v>
      </c>
      <c r="K5" s="427">
        <v>0.09</v>
      </c>
      <c r="L5" s="427">
        <v>0.1</v>
      </c>
      <c r="M5" s="427">
        <v>0.14000000000000001</v>
      </c>
      <c r="N5" s="428">
        <v>0.16</v>
      </c>
      <c r="O5" s="429"/>
      <c r="P5" s="421" t="s">
        <v>549</v>
      </c>
      <c r="Q5" s="429"/>
      <c r="R5" s="429"/>
      <c r="S5" s="429"/>
      <c r="T5" s="429"/>
      <c r="U5" s="429"/>
      <c r="V5" s="429"/>
      <c r="W5" s="429"/>
      <c r="X5" s="429"/>
      <c r="Y5" s="429"/>
      <c r="Z5" s="429"/>
    </row>
    <row r="6" spans="1:26" ht="57" customHeight="1" x14ac:dyDescent="0.3">
      <c r="B6" s="420">
        <v>2</v>
      </c>
      <c r="C6" s="421" t="s">
        <v>102</v>
      </c>
      <c r="D6" s="422" t="s">
        <v>550</v>
      </c>
      <c r="E6" s="423"/>
      <c r="F6" s="430"/>
      <c r="G6" s="430"/>
      <c r="H6" s="430"/>
      <c r="I6" s="431"/>
      <c r="J6" s="432">
        <v>1010</v>
      </c>
      <c r="K6" s="433">
        <v>1010</v>
      </c>
      <c r="L6" s="433">
        <v>1010</v>
      </c>
      <c r="M6" s="433">
        <v>1010</v>
      </c>
      <c r="N6" s="434">
        <v>1010</v>
      </c>
      <c r="O6" s="429"/>
      <c r="P6" s="421" t="s">
        <v>551</v>
      </c>
      <c r="Q6" s="429"/>
      <c r="R6" s="429"/>
      <c r="S6" s="429"/>
      <c r="T6" s="429"/>
      <c r="U6" s="429"/>
      <c r="V6" s="429"/>
      <c r="W6" s="429"/>
      <c r="X6" s="429"/>
      <c r="Y6" s="429"/>
      <c r="Z6" s="429"/>
    </row>
    <row r="7" spans="1:26" ht="57" customHeight="1" x14ac:dyDescent="0.3">
      <c r="B7" s="420">
        <v>3</v>
      </c>
      <c r="C7" s="421" t="s">
        <v>103</v>
      </c>
      <c r="D7" s="422" t="s">
        <v>552</v>
      </c>
      <c r="E7" s="423"/>
      <c r="F7" s="424">
        <f>'INCOME STATEMENT'!D5/'INCOME STATEMENT'!C5-1</f>
        <v>0.58572050360292094</v>
      </c>
      <c r="G7" s="424">
        <f>'INCOME STATEMENT'!E5/'INCOME STATEMENT'!D5-1</f>
        <v>-0.23994835666432845</v>
      </c>
      <c r="H7" s="424">
        <f>'INCOME STATEMENT'!F5/'INCOME STATEMENT'!E5-1</f>
        <v>0.62798940666631009</v>
      </c>
      <c r="I7" s="425">
        <f>'INCOME STATEMENT'!G5/'INCOME STATEMENT'!F5-1</f>
        <v>9.0457215626669196E-3</v>
      </c>
      <c r="J7" s="435">
        <f>AVERAGE(G7:I7)</f>
        <v>0.13236225718821618</v>
      </c>
      <c r="K7" s="424">
        <f>AVERAGE(H7:J7)</f>
        <v>0.25646579513906437</v>
      </c>
      <c r="L7" s="424">
        <f>AVERAGE(I7:K7)</f>
        <v>0.13262459129664916</v>
      </c>
      <c r="M7" s="424">
        <f>AVERAGE(J7:L7)</f>
        <v>0.17381754787464324</v>
      </c>
      <c r="N7" s="425">
        <f>AVERAGE(K7:M7)</f>
        <v>0.18763597810345226</v>
      </c>
      <c r="O7" s="429"/>
      <c r="P7" s="421" t="s">
        <v>553</v>
      </c>
      <c r="Q7" s="429"/>
      <c r="R7" s="429"/>
      <c r="S7" s="429"/>
      <c r="T7" s="429"/>
      <c r="U7" s="429"/>
      <c r="V7" s="429"/>
      <c r="W7" s="429"/>
      <c r="X7" s="429"/>
      <c r="Y7" s="429"/>
      <c r="Z7" s="429"/>
    </row>
    <row r="8" spans="1:26" ht="27.75" customHeight="1" x14ac:dyDescent="0.3">
      <c r="B8" s="420">
        <v>4</v>
      </c>
      <c r="C8" s="421" t="s">
        <v>104</v>
      </c>
      <c r="D8" s="422" t="s">
        <v>554</v>
      </c>
      <c r="E8" s="432">
        <f>'INCOME STATEMENT'!C6</f>
        <v>0</v>
      </c>
      <c r="F8" s="433">
        <f>'INCOME STATEMENT'!D6</f>
        <v>0</v>
      </c>
      <c r="G8" s="433">
        <f>'INCOME STATEMENT'!E6</f>
        <v>0</v>
      </c>
      <c r="H8" s="433">
        <f>'INCOME STATEMENT'!F6</f>
        <v>21.29</v>
      </c>
      <c r="I8" s="434">
        <f>'INCOME STATEMENT'!G6</f>
        <v>25.77</v>
      </c>
      <c r="J8" s="432">
        <f>I8</f>
        <v>25.77</v>
      </c>
      <c r="K8" s="433">
        <f>J8</f>
        <v>25.77</v>
      </c>
      <c r="L8" s="433">
        <f>K8</f>
        <v>25.77</v>
      </c>
      <c r="M8" s="433">
        <f>L8</f>
        <v>25.77</v>
      </c>
      <c r="N8" s="434">
        <f>M8</f>
        <v>25.77</v>
      </c>
      <c r="O8" s="429"/>
      <c r="P8" s="421" t="s">
        <v>555</v>
      </c>
      <c r="Q8" s="429"/>
      <c r="R8" s="429"/>
      <c r="S8" s="429"/>
      <c r="T8" s="429"/>
      <c r="U8" s="429"/>
      <c r="V8" s="429"/>
      <c r="W8" s="429"/>
      <c r="X8" s="429"/>
      <c r="Y8" s="429"/>
      <c r="Z8" s="429"/>
    </row>
    <row r="9" spans="1:26" ht="42.75" customHeight="1" x14ac:dyDescent="0.3">
      <c r="B9" s="420">
        <v>5</v>
      </c>
      <c r="C9" s="421" t="s">
        <v>105</v>
      </c>
      <c r="D9" s="422" t="s">
        <v>556</v>
      </c>
      <c r="E9" s="423"/>
      <c r="F9" s="430"/>
      <c r="G9" s="430"/>
      <c r="H9" s="430"/>
      <c r="I9" s="431"/>
      <c r="J9" s="432">
        <v>574</v>
      </c>
      <c r="K9" s="433">
        <v>279</v>
      </c>
      <c r="L9" s="433">
        <v>196</v>
      </c>
      <c r="M9" s="433">
        <v>202</v>
      </c>
      <c r="N9" s="434">
        <v>208</v>
      </c>
      <c r="O9" s="429"/>
      <c r="P9" s="421" t="s">
        <v>557</v>
      </c>
      <c r="Q9" s="429"/>
      <c r="R9" s="429"/>
      <c r="S9" s="429"/>
      <c r="T9" s="429"/>
      <c r="U9" s="429"/>
      <c r="V9" s="429"/>
      <c r="W9" s="429"/>
      <c r="X9" s="429"/>
      <c r="Y9" s="429"/>
      <c r="Z9" s="429"/>
    </row>
    <row r="10" spans="1:26" ht="28.5" customHeight="1" x14ac:dyDescent="0.3">
      <c r="B10" s="420">
        <v>6</v>
      </c>
      <c r="C10" s="421" t="s">
        <v>106</v>
      </c>
      <c r="D10" s="422" t="s">
        <v>484</v>
      </c>
      <c r="E10" s="432">
        <f>'INCOME STATEMENT'!C8</f>
        <v>6.24</v>
      </c>
      <c r="F10" s="433">
        <f>'INCOME STATEMENT'!D8</f>
        <v>15.67</v>
      </c>
      <c r="G10" s="433">
        <f>'INCOME STATEMENT'!E8</f>
        <v>243.15</v>
      </c>
      <c r="H10" s="433">
        <f>'INCOME STATEMENT'!F8</f>
        <v>398.57</v>
      </c>
      <c r="I10" s="434">
        <f>'INCOME STATEMENT'!G8</f>
        <v>235.84</v>
      </c>
      <c r="J10" s="432">
        <f t="shared" ref="J10:J22" si="0">AVERAGE(G10:I10)</f>
        <v>292.52000000000004</v>
      </c>
      <c r="K10" s="433">
        <f t="shared" ref="K10:K22" si="1">AVERAGE(H10:J10)</f>
        <v>308.97666666666669</v>
      </c>
      <c r="L10" s="433">
        <f t="shared" ref="L10:L22" si="2">AVERAGE(I10:K10)</f>
        <v>279.11222222222221</v>
      </c>
      <c r="M10" s="433">
        <f t="shared" ref="M10:M22" si="3">AVERAGE(J10:L10)</f>
        <v>293.53629629629631</v>
      </c>
      <c r="N10" s="434">
        <f t="shared" ref="N10:N22" si="4">AVERAGE(K10:M10)</f>
        <v>293.87506172839511</v>
      </c>
      <c r="O10" s="429"/>
      <c r="P10" s="421" t="s">
        <v>558</v>
      </c>
      <c r="Q10" s="429"/>
      <c r="R10" s="429"/>
      <c r="S10" s="429"/>
      <c r="T10" s="429"/>
      <c r="U10" s="429"/>
      <c r="V10" s="429"/>
      <c r="W10" s="429"/>
      <c r="X10" s="429"/>
      <c r="Y10" s="429"/>
      <c r="Z10" s="429"/>
    </row>
    <row r="11" spans="1:26" ht="42.75" customHeight="1" x14ac:dyDescent="0.3">
      <c r="B11" s="420">
        <v>7</v>
      </c>
      <c r="C11" s="421" t="s">
        <v>109</v>
      </c>
      <c r="D11" s="422" t="s">
        <v>559</v>
      </c>
      <c r="E11" s="435">
        <f>'INCOME STATEMENT'!C12/SUM('INCOME STATEMENT'!C3,'INCOME STATEMENT'!C4,'INCOME STATEMENT'!C6,'INCOME STATEMENT'!C7)</f>
        <v>0.6661512605042017</v>
      </c>
      <c r="F11" s="424">
        <f>'INCOME STATEMENT'!D12/SUM('INCOME STATEMENT'!D3,'INCOME STATEMENT'!D4,'INCOME STATEMENT'!D6,'INCOME STATEMENT'!D7)</f>
        <v>0.65958165925212398</v>
      </c>
      <c r="G11" s="424">
        <f>'INCOME STATEMENT'!E12/SUM('INCOME STATEMENT'!E3,'INCOME STATEMENT'!E4,'INCOME STATEMENT'!E6,'INCOME STATEMENT'!E7)</f>
        <v>0.71688859178601572</v>
      </c>
      <c r="H11" s="424">
        <f>'INCOME STATEMENT'!F12/SUM('INCOME STATEMENT'!F3,'INCOME STATEMENT'!F4,'INCOME STATEMENT'!F6,'INCOME STATEMENT'!F7)</f>
        <v>0.69598489846972178</v>
      </c>
      <c r="I11" s="425">
        <f>'INCOME STATEMENT'!G12/SUM('INCOME STATEMENT'!G3,'INCOME STATEMENT'!G4,'INCOME STATEMENT'!G6,'INCOME STATEMENT'!G7)</f>
        <v>0.58705361621528351</v>
      </c>
      <c r="J11" s="435">
        <f t="shared" si="0"/>
        <v>0.66664236882367367</v>
      </c>
      <c r="K11" s="424">
        <f t="shared" si="1"/>
        <v>0.64989362783622628</v>
      </c>
      <c r="L11" s="424">
        <f t="shared" si="2"/>
        <v>0.63452987095839442</v>
      </c>
      <c r="M11" s="424">
        <f t="shared" si="3"/>
        <v>0.65035528920609809</v>
      </c>
      <c r="N11" s="425">
        <f t="shared" si="4"/>
        <v>0.64492626266690622</v>
      </c>
      <c r="O11" s="429"/>
      <c r="P11" s="421" t="s">
        <v>560</v>
      </c>
      <c r="Q11" s="429"/>
      <c r="R11" s="429"/>
      <c r="S11" s="429"/>
      <c r="T11" s="429"/>
      <c r="U11" s="429"/>
      <c r="V11" s="429"/>
      <c r="W11" s="429"/>
      <c r="X11" s="429"/>
      <c r="Y11" s="429"/>
      <c r="Z11" s="429"/>
    </row>
    <row r="12" spans="1:26" ht="42.75" customHeight="1" x14ac:dyDescent="0.3">
      <c r="B12" s="420">
        <v>8</v>
      </c>
      <c r="C12" s="421" t="s">
        <v>110</v>
      </c>
      <c r="D12" s="422" t="s">
        <v>561</v>
      </c>
      <c r="E12" s="435">
        <f>'INCOME STATEMENT'!C13/'INCOME STATEMENT'!C5</f>
        <v>0.93229410152660686</v>
      </c>
      <c r="F12" s="424">
        <f>'INCOME STATEMENT'!D13/'INCOME STATEMENT'!D5</f>
        <v>0.92881759126536345</v>
      </c>
      <c r="G12" s="424">
        <f>'INCOME STATEMENT'!E13/'INCOME STATEMENT'!E5</f>
        <v>0.92721095714515012</v>
      </c>
      <c r="H12" s="424">
        <f>'INCOME STATEMENT'!F13/'INCOME STATEMENT'!F5</f>
        <v>0.94140409974119854</v>
      </c>
      <c r="I12" s="425">
        <f>'INCOME STATEMENT'!G13/'INCOME STATEMENT'!G5</f>
        <v>0.93769541427826997</v>
      </c>
      <c r="J12" s="435">
        <f t="shared" si="0"/>
        <v>0.93543682372153958</v>
      </c>
      <c r="K12" s="424">
        <f t="shared" si="1"/>
        <v>0.93817877924700266</v>
      </c>
      <c r="L12" s="424">
        <f t="shared" si="2"/>
        <v>0.93710367241560411</v>
      </c>
      <c r="M12" s="424">
        <f t="shared" si="3"/>
        <v>0.93690642512804878</v>
      </c>
      <c r="N12" s="425">
        <f t="shared" si="4"/>
        <v>0.93739629226355181</v>
      </c>
      <c r="O12" s="429"/>
      <c r="P12" s="421" t="s">
        <v>562</v>
      </c>
      <c r="Q12" s="429"/>
      <c r="R12" s="429"/>
      <c r="S12" s="429"/>
      <c r="T12" s="429"/>
      <c r="U12" s="429"/>
      <c r="V12" s="429"/>
      <c r="W12" s="429"/>
      <c r="X12" s="429"/>
      <c r="Y12" s="429"/>
      <c r="Z12" s="429"/>
    </row>
    <row r="13" spans="1:26" ht="28.5" customHeight="1" x14ac:dyDescent="0.3">
      <c r="B13" s="420">
        <v>9</v>
      </c>
      <c r="C13" s="421" t="s">
        <v>117</v>
      </c>
      <c r="D13" s="422" t="s">
        <v>563</v>
      </c>
      <c r="E13" s="435">
        <f>'INCOME STATEMENT'!C21/'INCOME STATEMENT'!C9</f>
        <v>0.16127446378544499</v>
      </c>
      <c r="F13" s="424">
        <f>'INCOME STATEMENT'!D21/'INCOME STATEMENT'!D9</f>
        <v>0.13931466804342366</v>
      </c>
      <c r="G13" s="424">
        <f>'INCOME STATEMENT'!E21/'INCOME STATEMENT'!E9</f>
        <v>0.10127657726026486</v>
      </c>
      <c r="H13" s="424">
        <f>'INCOME STATEMENT'!F21/'INCOME STATEMENT'!F9</f>
        <v>9.4706852950062231E-2</v>
      </c>
      <c r="I13" s="425">
        <f>'INCOME STATEMENT'!G21/'INCOME STATEMENT'!G9</f>
        <v>8.5615839214547393E-2</v>
      </c>
      <c r="J13" s="435">
        <f t="shared" si="0"/>
        <v>9.3866423141624841E-2</v>
      </c>
      <c r="K13" s="424">
        <f t="shared" si="1"/>
        <v>9.1396371768744822E-2</v>
      </c>
      <c r="L13" s="424">
        <f t="shared" si="2"/>
        <v>9.0292878041639033E-2</v>
      </c>
      <c r="M13" s="424">
        <f t="shared" si="3"/>
        <v>9.1851890984002912E-2</v>
      </c>
      <c r="N13" s="425">
        <f t="shared" si="4"/>
        <v>9.1180380264795594E-2</v>
      </c>
      <c r="O13" s="429"/>
      <c r="P13" s="421" t="s">
        <v>564</v>
      </c>
      <c r="Q13" s="429"/>
      <c r="R13" s="429"/>
      <c r="S13" s="429"/>
      <c r="T13" s="429"/>
      <c r="U13" s="429"/>
      <c r="V13" s="429"/>
      <c r="W13" s="429"/>
      <c r="X13" s="429"/>
      <c r="Y13" s="429"/>
      <c r="Z13" s="429"/>
    </row>
    <row r="14" spans="1:26" ht="28.5" customHeight="1" x14ac:dyDescent="0.3">
      <c r="B14" s="420">
        <v>10</v>
      </c>
      <c r="C14" s="421" t="s">
        <v>565</v>
      </c>
      <c r="D14" s="422" t="s">
        <v>566</v>
      </c>
      <c r="E14" s="436"/>
      <c r="F14" s="437">
        <f>'INCOME STATEMENT'!D15/'INCOME STATEMENT'!D21</f>
        <v>0.77109911985276625</v>
      </c>
      <c r="G14" s="437">
        <f>'INCOME STATEMENT'!E15/'INCOME STATEMENT'!E21</f>
        <v>0.78973395062507101</v>
      </c>
      <c r="H14" s="437">
        <f>'INCOME STATEMENT'!F15/'INCOME STATEMENT'!F21</f>
        <v>0.76982878813228484</v>
      </c>
      <c r="I14" s="438">
        <f>'INCOME STATEMENT'!G15/'INCOME STATEMENT'!G21</f>
        <v>0.74610472541507011</v>
      </c>
      <c r="J14" s="439">
        <f t="shared" si="0"/>
        <v>0.76855582139080869</v>
      </c>
      <c r="K14" s="437">
        <f t="shared" si="1"/>
        <v>0.76149644497938784</v>
      </c>
      <c r="L14" s="437">
        <f t="shared" si="2"/>
        <v>0.75871899726175551</v>
      </c>
      <c r="M14" s="437">
        <f t="shared" si="3"/>
        <v>0.76292375454398398</v>
      </c>
      <c r="N14" s="438">
        <f t="shared" si="4"/>
        <v>0.76104639892837567</v>
      </c>
      <c r="O14" s="429"/>
      <c r="P14" s="421" t="s">
        <v>567</v>
      </c>
      <c r="Q14" s="429"/>
      <c r="R14" s="429"/>
      <c r="S14" s="429"/>
      <c r="T14" s="429"/>
      <c r="U14" s="429"/>
      <c r="V14" s="429"/>
      <c r="W14" s="429"/>
      <c r="X14" s="429"/>
      <c r="Y14" s="429"/>
      <c r="Z14" s="429"/>
    </row>
    <row r="15" spans="1:26" ht="42.75" customHeight="1" x14ac:dyDescent="0.3">
      <c r="B15" s="420">
        <v>11</v>
      </c>
      <c r="C15" s="421" t="s">
        <v>568</v>
      </c>
      <c r="D15" s="422" t="s">
        <v>566</v>
      </c>
      <c r="E15" s="436"/>
      <c r="F15" s="437">
        <f>'INCOME STATEMENT'!D16/'INCOME STATEMENT'!D21</f>
        <v>2.6078900254153464E-2</v>
      </c>
      <c r="G15" s="437">
        <f>'INCOME STATEMENT'!E16/'INCOME STATEMENT'!E21</f>
        <v>2.8207036621210786E-2</v>
      </c>
      <c r="H15" s="437">
        <f>'INCOME STATEMENT'!F16/'INCOME STATEMENT'!F21</f>
        <v>2.5598126150242595E-2</v>
      </c>
      <c r="I15" s="438">
        <f>'INCOME STATEMENT'!G16/'INCOME STATEMENT'!G21</f>
        <v>5.6950191570881221E-2</v>
      </c>
      <c r="J15" s="439">
        <f t="shared" si="0"/>
        <v>3.6918451447444871E-2</v>
      </c>
      <c r="K15" s="437">
        <f t="shared" si="1"/>
        <v>3.9822256389522893E-2</v>
      </c>
      <c r="L15" s="437">
        <f t="shared" si="2"/>
        <v>4.456363313594966E-2</v>
      </c>
      <c r="M15" s="437">
        <f t="shared" si="3"/>
        <v>4.0434780324305808E-2</v>
      </c>
      <c r="N15" s="438">
        <f t="shared" si="4"/>
        <v>4.1606889949926118E-2</v>
      </c>
      <c r="O15" s="429"/>
      <c r="P15" s="421" t="s">
        <v>569</v>
      </c>
      <c r="Q15" s="429"/>
      <c r="R15" s="429"/>
      <c r="S15" s="429"/>
      <c r="T15" s="429"/>
      <c r="U15" s="429"/>
      <c r="V15" s="429"/>
      <c r="W15" s="429"/>
      <c r="X15" s="429"/>
      <c r="Y15" s="429"/>
      <c r="Z15" s="429"/>
    </row>
    <row r="16" spans="1:26" ht="42.75" customHeight="1" x14ac:dyDescent="0.3">
      <c r="B16" s="420">
        <v>12</v>
      </c>
      <c r="C16" s="421" t="s">
        <v>570</v>
      </c>
      <c r="D16" s="422" t="s">
        <v>566</v>
      </c>
      <c r="E16" s="436"/>
      <c r="F16" s="437">
        <f>'INCOME STATEMENT'!D17/'INCOME STATEMENT'!D21</f>
        <v>5.2082681256494685E-2</v>
      </c>
      <c r="G16" s="437">
        <f>'INCOME STATEMENT'!E17/'INCOME STATEMENT'!E21</f>
        <v>5.1128407614386098E-2</v>
      </c>
      <c r="H16" s="437">
        <f>'INCOME STATEMENT'!F17/'INCOME STATEMENT'!F21</f>
        <v>4.6779320729462934E-2</v>
      </c>
      <c r="I16" s="438">
        <f>'INCOME STATEMENT'!G17/'INCOME STATEMENT'!G21</f>
        <v>4.4413793103448271E-2</v>
      </c>
      <c r="J16" s="439">
        <f t="shared" si="0"/>
        <v>4.7440507149099108E-2</v>
      </c>
      <c r="K16" s="437">
        <f t="shared" si="1"/>
        <v>4.621120699400344E-2</v>
      </c>
      <c r="L16" s="437">
        <f t="shared" si="2"/>
        <v>4.6021835748850271E-2</v>
      </c>
      <c r="M16" s="437">
        <f t="shared" si="3"/>
        <v>4.6557849963984273E-2</v>
      </c>
      <c r="N16" s="438">
        <f t="shared" si="4"/>
        <v>4.6263630902279328E-2</v>
      </c>
      <c r="O16" s="429"/>
      <c r="P16" s="421" t="s">
        <v>571</v>
      </c>
      <c r="Q16" s="429"/>
      <c r="R16" s="429"/>
      <c r="S16" s="429"/>
      <c r="T16" s="429"/>
      <c r="U16" s="429"/>
      <c r="V16" s="429"/>
      <c r="W16" s="429"/>
      <c r="X16" s="429"/>
      <c r="Y16" s="429"/>
      <c r="Z16" s="429"/>
    </row>
    <row r="17" spans="1:26" ht="42.75" customHeight="1" x14ac:dyDescent="0.3">
      <c r="B17" s="420">
        <v>13</v>
      </c>
      <c r="C17" s="421" t="s">
        <v>572</v>
      </c>
      <c r="D17" s="422" t="s">
        <v>566</v>
      </c>
      <c r="E17" s="436"/>
      <c r="F17" s="437">
        <f>'INCOME STATEMENT'!D18/'INCOME STATEMENT'!D21</f>
        <v>0.10477883640278943</v>
      </c>
      <c r="G17" s="437">
        <f>'INCOME STATEMENT'!E18/'INCOME STATEMENT'!E21</f>
        <v>8.590783514778419E-2</v>
      </c>
      <c r="H17" s="437">
        <f>'INCOME STATEMENT'!F18/'INCOME STATEMENT'!F21</f>
        <v>0.11017790418827728</v>
      </c>
      <c r="I17" s="438">
        <f>'INCOME STATEMENT'!G18/'INCOME STATEMENT'!G21</f>
        <v>0.10007662835249041</v>
      </c>
      <c r="J17" s="439">
        <f t="shared" si="0"/>
        <v>9.8720789229517283E-2</v>
      </c>
      <c r="K17" s="437">
        <f t="shared" si="1"/>
        <v>0.10299177392342833</v>
      </c>
      <c r="L17" s="437">
        <f t="shared" si="2"/>
        <v>0.10059639716847868</v>
      </c>
      <c r="M17" s="437">
        <f t="shared" si="3"/>
        <v>0.10076965344047477</v>
      </c>
      <c r="N17" s="438">
        <f t="shared" si="4"/>
        <v>0.1014526081774606</v>
      </c>
      <c r="O17" s="429"/>
      <c r="P17" s="421" t="s">
        <v>573</v>
      </c>
      <c r="Q17" s="429"/>
      <c r="R17" s="429"/>
      <c r="S17" s="429"/>
      <c r="T17" s="429"/>
      <c r="U17" s="429"/>
      <c r="V17" s="429"/>
      <c r="W17" s="429"/>
      <c r="X17" s="429"/>
      <c r="Y17" s="429"/>
      <c r="Z17" s="429"/>
    </row>
    <row r="18" spans="1:26" ht="28.5" customHeight="1" x14ac:dyDescent="0.3">
      <c r="B18" s="420">
        <v>14</v>
      </c>
      <c r="C18" s="421" t="s">
        <v>574</v>
      </c>
      <c r="D18" s="422" t="s">
        <v>566</v>
      </c>
      <c r="E18" s="436"/>
      <c r="F18" s="437">
        <f>'INCOME STATEMENT'!D19/'INCOME STATEMENT'!D21</f>
        <v>1.1205288395327582E-2</v>
      </c>
      <c r="G18" s="437">
        <f>'INCOME STATEMENT'!E19/'INCOME STATEMENT'!E21</f>
        <v>1.1832826632690393E-2</v>
      </c>
      <c r="H18" s="437">
        <f>'INCOME STATEMENT'!F19/'INCOME STATEMENT'!F21</f>
        <v>1.1878868997824995E-2</v>
      </c>
      <c r="I18" s="438">
        <f>'INCOME STATEMENT'!G19/'INCOME STATEMENT'!G21</f>
        <v>1.3139208173690931E-2</v>
      </c>
      <c r="J18" s="439">
        <f t="shared" si="0"/>
        <v>1.2283634601402105E-2</v>
      </c>
      <c r="K18" s="437">
        <f t="shared" si="1"/>
        <v>1.243390392430601E-2</v>
      </c>
      <c r="L18" s="437">
        <f t="shared" si="2"/>
        <v>1.2618915566466349E-2</v>
      </c>
      <c r="M18" s="437">
        <f t="shared" si="3"/>
        <v>1.2445484697391486E-2</v>
      </c>
      <c r="N18" s="438">
        <f t="shared" si="4"/>
        <v>1.2499434729387948E-2</v>
      </c>
      <c r="O18" s="429"/>
      <c r="P18" s="421" t="s">
        <v>575</v>
      </c>
      <c r="Q18" s="429"/>
      <c r="R18" s="429"/>
      <c r="S18" s="429"/>
      <c r="T18" s="429"/>
      <c r="U18" s="429"/>
      <c r="V18" s="429"/>
      <c r="W18" s="429"/>
      <c r="X18" s="429"/>
      <c r="Y18" s="429"/>
      <c r="Z18" s="429"/>
    </row>
    <row r="19" spans="1:26" ht="28.5" customHeight="1" x14ac:dyDescent="0.3">
      <c r="B19" s="420">
        <v>15</v>
      </c>
      <c r="C19" s="421" t="s">
        <v>576</v>
      </c>
      <c r="D19" s="422" t="s">
        <v>566</v>
      </c>
      <c r="E19" s="436"/>
      <c r="F19" s="437">
        <f>'INCOME STATEMENT'!D20/'INCOME STATEMENT'!D21</f>
        <v>3.4755173838468573E-2</v>
      </c>
      <c r="G19" s="437">
        <f>'INCOME STATEMENT'!E20/'INCOME STATEMENT'!E21</f>
        <v>3.3189943358857589E-2</v>
      </c>
      <c r="H19" s="437">
        <f>'INCOME STATEMENT'!F20/'INCOME STATEMENT'!F21</f>
        <v>3.5736991801907307E-2</v>
      </c>
      <c r="I19" s="438">
        <f>'INCOME STATEMENT'!G20/'INCOME STATEMENT'!G21</f>
        <v>3.9315453384418893E-2</v>
      </c>
      <c r="J19" s="439">
        <f t="shared" si="0"/>
        <v>3.608079618172793E-2</v>
      </c>
      <c r="K19" s="437">
        <f t="shared" si="1"/>
        <v>3.7044413789351381E-2</v>
      </c>
      <c r="L19" s="437">
        <f t="shared" si="2"/>
        <v>3.7480221118499406E-2</v>
      </c>
      <c r="M19" s="437">
        <f t="shared" si="3"/>
        <v>3.686847702985957E-2</v>
      </c>
      <c r="N19" s="438">
        <f t="shared" si="4"/>
        <v>3.7131037312570121E-2</v>
      </c>
      <c r="O19" s="429"/>
      <c r="P19" s="421" t="s">
        <v>577</v>
      </c>
      <c r="Q19" s="429"/>
      <c r="R19" s="429"/>
      <c r="S19" s="429"/>
      <c r="T19" s="429"/>
      <c r="U19" s="429"/>
      <c r="V19" s="429"/>
      <c r="W19" s="429"/>
      <c r="X19" s="429"/>
      <c r="Y19" s="429"/>
      <c r="Z19" s="429"/>
    </row>
    <row r="20" spans="1:26" ht="27.75" customHeight="1" x14ac:dyDescent="0.3">
      <c r="B20" s="420">
        <v>16</v>
      </c>
      <c r="C20" s="421" t="s">
        <v>118</v>
      </c>
      <c r="D20" s="422" t="s">
        <v>563</v>
      </c>
      <c r="E20" s="435">
        <f>'INCOME STATEMENT'!C23/'INCOME STATEMENT'!C9</f>
        <v>2.8089193689442714E-3</v>
      </c>
      <c r="F20" s="424">
        <f>'INCOME STATEMENT'!D23/'INCOME STATEMENT'!D9</f>
        <v>2.5692099461390337E-3</v>
      </c>
      <c r="G20" s="424">
        <f>'INCOME STATEMENT'!E23/'INCOME STATEMENT'!E9</f>
        <v>2.1029285132065445E-3</v>
      </c>
      <c r="H20" s="424">
        <f>'INCOME STATEMENT'!F23/'INCOME STATEMENT'!F9</f>
        <v>1.8686790794563615E-3</v>
      </c>
      <c r="I20" s="425">
        <f>'INCOME STATEMENT'!G23/'INCOME STATEMENT'!G9</f>
        <v>1.7188773849970431E-3</v>
      </c>
      <c r="J20" s="435">
        <f t="shared" si="0"/>
        <v>1.8968283258866496E-3</v>
      </c>
      <c r="K20" s="424">
        <f t="shared" si="1"/>
        <v>1.8281282634466847E-3</v>
      </c>
      <c r="L20" s="424">
        <f t="shared" si="2"/>
        <v>1.8146113247767923E-3</v>
      </c>
      <c r="M20" s="424">
        <f t="shared" si="3"/>
        <v>1.8465226380367089E-3</v>
      </c>
      <c r="N20" s="425">
        <f t="shared" si="4"/>
        <v>1.829754075420062E-3</v>
      </c>
      <c r="O20" s="429"/>
      <c r="P20" s="421" t="s">
        <v>578</v>
      </c>
      <c r="Q20" s="429"/>
      <c r="R20" s="429"/>
      <c r="S20" s="429"/>
      <c r="T20" s="429"/>
      <c r="U20" s="429"/>
      <c r="V20" s="429"/>
      <c r="W20" s="429"/>
      <c r="X20" s="429"/>
      <c r="Y20" s="429"/>
      <c r="Z20" s="429"/>
    </row>
    <row r="21" spans="1:26" ht="41.25" customHeight="1" x14ac:dyDescent="0.3">
      <c r="B21" s="420">
        <v>17</v>
      </c>
      <c r="C21" s="421" t="s">
        <v>119</v>
      </c>
      <c r="D21" s="422" t="s">
        <v>579</v>
      </c>
      <c r="E21" s="435">
        <f>'INCOME STATEMENT'!C24/'INCOME STATEMENT'!C12</f>
        <v>7.3867849605321459E-2</v>
      </c>
      <c r="F21" s="424">
        <f>'INCOME STATEMENT'!D24/'INCOME STATEMENT'!D12</f>
        <v>5.2632253188232204E-2</v>
      </c>
      <c r="G21" s="424">
        <f>'INCOME STATEMENT'!E24/'INCOME STATEMENT'!E12</f>
        <v>5.8917389148590162E-2</v>
      </c>
      <c r="H21" s="424">
        <f>'INCOME STATEMENT'!F24/'INCOME STATEMENT'!F12</f>
        <v>3.0530299702786194E-2</v>
      </c>
      <c r="I21" s="425">
        <f>'INCOME STATEMENT'!G24/'INCOME STATEMENT'!G12</f>
        <v>5.1202389741065814E-2</v>
      </c>
      <c r="J21" s="435">
        <f t="shared" si="0"/>
        <v>4.6883359530814052E-2</v>
      </c>
      <c r="K21" s="424">
        <f t="shared" si="1"/>
        <v>4.2872016324888684E-2</v>
      </c>
      <c r="L21" s="424">
        <f t="shared" si="2"/>
        <v>4.698592186558951E-2</v>
      </c>
      <c r="M21" s="424">
        <f t="shared" si="3"/>
        <v>4.5580432573764075E-2</v>
      </c>
      <c r="N21" s="425">
        <f t="shared" si="4"/>
        <v>4.5146123588080754E-2</v>
      </c>
      <c r="O21" s="429"/>
      <c r="P21" s="421" t="s">
        <v>580</v>
      </c>
      <c r="Q21" s="429"/>
      <c r="R21" s="429"/>
      <c r="S21" s="429"/>
      <c r="T21" s="429"/>
      <c r="U21" s="429"/>
      <c r="V21" s="429"/>
      <c r="W21" s="429"/>
      <c r="X21" s="429"/>
      <c r="Y21" s="429"/>
      <c r="Z21" s="429"/>
    </row>
    <row r="22" spans="1:26" ht="41.25" customHeight="1" x14ac:dyDescent="0.3">
      <c r="B22" s="420">
        <v>18</v>
      </c>
      <c r="C22" s="421" t="s">
        <v>120</v>
      </c>
      <c r="D22" s="422" t="s">
        <v>563</v>
      </c>
      <c r="E22" s="435">
        <f>'INCOME STATEMENT'!C25/'INCOME STATEMENT'!C9</f>
        <v>2.8212716968639914E-2</v>
      </c>
      <c r="F22" s="424">
        <f>'INCOME STATEMENT'!D25/'INCOME STATEMENT'!D9</f>
        <v>3.1772388580358885E-2</v>
      </c>
      <c r="G22" s="424">
        <f>'INCOME STATEMENT'!E25/'INCOME STATEMENT'!E9</f>
        <v>2.8096964679488651E-2</v>
      </c>
      <c r="H22" s="424">
        <f>'INCOME STATEMENT'!F25/'INCOME STATEMENT'!F9</f>
        <v>2.0651597514625135E-2</v>
      </c>
      <c r="I22" s="425">
        <f>'INCOME STATEMENT'!G25/'INCOME STATEMENT'!G9</f>
        <v>2.832167587483423E-2</v>
      </c>
      <c r="J22" s="435">
        <f t="shared" si="0"/>
        <v>2.5690079356316009E-2</v>
      </c>
      <c r="K22" s="424">
        <f t="shared" si="1"/>
        <v>2.4887784248591793E-2</v>
      </c>
      <c r="L22" s="424">
        <f t="shared" si="2"/>
        <v>2.6299846493247344E-2</v>
      </c>
      <c r="M22" s="424">
        <f t="shared" si="3"/>
        <v>2.5625903366051719E-2</v>
      </c>
      <c r="N22" s="425">
        <f t="shared" si="4"/>
        <v>2.5604511369296951E-2</v>
      </c>
      <c r="O22" s="429"/>
      <c r="P22" s="421" t="s">
        <v>581</v>
      </c>
      <c r="Q22" s="429"/>
      <c r="R22" s="429"/>
      <c r="S22" s="429"/>
      <c r="T22" s="429"/>
      <c r="U22" s="429"/>
      <c r="V22" s="429"/>
      <c r="W22" s="429"/>
      <c r="X22" s="429"/>
      <c r="Y22" s="429"/>
      <c r="Z22" s="429"/>
    </row>
    <row r="23" spans="1:26" ht="41.25" customHeight="1" x14ac:dyDescent="0.3">
      <c r="B23" s="420">
        <v>19</v>
      </c>
      <c r="C23" s="421" t="s">
        <v>121</v>
      </c>
      <c r="D23" s="422" t="s">
        <v>582</v>
      </c>
      <c r="E23" s="423"/>
      <c r="F23" s="430"/>
      <c r="G23" s="430"/>
      <c r="H23" s="430"/>
      <c r="I23" s="431"/>
      <c r="J23" s="432">
        <v>468</v>
      </c>
      <c r="K23" s="433">
        <v>165</v>
      </c>
      <c r="L23" s="433">
        <f>K23*('INCOME STATEMENT'!J10+1)</f>
        <v>178.8539145534055</v>
      </c>
      <c r="M23" s="433">
        <f>L23*('INCOME STATEMENT'!K10+1)</f>
        <v>202.38788579520985</v>
      </c>
      <c r="N23" s="434">
        <f>M23*('INCOME STATEMENT'!L10+1)</f>
        <v>232.65450011093836</v>
      </c>
      <c r="O23" s="429"/>
      <c r="P23" s="421" t="s">
        <v>583</v>
      </c>
      <c r="Q23" s="429"/>
      <c r="R23" s="429"/>
      <c r="S23" s="429"/>
      <c r="T23" s="429"/>
      <c r="U23" s="429"/>
      <c r="V23" s="429"/>
      <c r="W23" s="429"/>
      <c r="X23" s="429"/>
      <c r="Y23" s="429"/>
      <c r="Z23" s="429"/>
    </row>
    <row r="24" spans="1:26" ht="27.75" customHeight="1" x14ac:dyDescent="0.3">
      <c r="A24" s="178"/>
      <c r="B24" s="420">
        <v>20</v>
      </c>
      <c r="C24" s="421" t="s">
        <v>136</v>
      </c>
      <c r="D24" s="422" t="s">
        <v>584</v>
      </c>
      <c r="E24" s="432">
        <f>'INCOME STATEMENT'!C46</f>
        <v>0.01</v>
      </c>
      <c r="F24" s="433">
        <f>'INCOME STATEMENT'!D46</f>
        <v>0</v>
      </c>
      <c r="G24" s="433">
        <f>'INCOME STATEMENT'!E46</f>
        <v>0.21</v>
      </c>
      <c r="H24" s="433">
        <f>'INCOME STATEMENT'!F46</f>
        <v>0</v>
      </c>
      <c r="I24" s="434">
        <f>'INCOME STATEMENT'!G46</f>
        <v>0</v>
      </c>
      <c r="J24" s="432">
        <v>0</v>
      </c>
      <c r="K24" s="433">
        <v>0</v>
      </c>
      <c r="L24" s="433">
        <v>0</v>
      </c>
      <c r="M24" s="433">
        <v>0</v>
      </c>
      <c r="N24" s="434">
        <v>0</v>
      </c>
      <c r="O24" s="429"/>
      <c r="P24" s="421" t="s">
        <v>585</v>
      </c>
      <c r="Q24" s="429"/>
      <c r="R24" s="429"/>
      <c r="S24" s="429"/>
      <c r="T24" s="429"/>
      <c r="U24" s="429"/>
      <c r="V24" s="429"/>
      <c r="W24" s="429"/>
      <c r="X24" s="429"/>
      <c r="Y24" s="429"/>
      <c r="Z24" s="429"/>
    </row>
    <row r="25" spans="1:26" ht="28.5" customHeight="1" x14ac:dyDescent="0.3">
      <c r="B25" s="420">
        <v>21</v>
      </c>
      <c r="C25" s="421" t="s">
        <v>586</v>
      </c>
      <c r="D25" s="422" t="s">
        <v>563</v>
      </c>
      <c r="E25" s="435">
        <f>'INCOME STATEMENT'!C47/'INCOME STATEMENT'!C9</f>
        <v>5.0844652183150443E-2</v>
      </c>
      <c r="F25" s="424">
        <f>'INCOME STATEMENT'!D47/'INCOME STATEMENT'!D9</f>
        <v>1.0775681634247759E-2</v>
      </c>
      <c r="G25" s="424">
        <f>'INCOME STATEMENT'!E47/'INCOME STATEMENT'!E9</f>
        <v>1.0725446457089271E-2</v>
      </c>
      <c r="H25" s="424">
        <f>'INCOME STATEMENT'!F47/'INCOME STATEMENT'!F9</f>
        <v>1.1152919005596529E-2</v>
      </c>
      <c r="I25" s="425">
        <f>'INCOME STATEMENT'!G47/'INCOME STATEMENT'!G9</f>
        <v>1.0024597878914052E-2</v>
      </c>
      <c r="J25" s="435">
        <f>AVERAGE(G25:I25)</f>
        <v>1.0634321113866618E-2</v>
      </c>
      <c r="K25" s="424">
        <f>AVERAGE(H25:J25)</f>
        <v>1.0603945999459068E-2</v>
      </c>
      <c r="L25" s="424">
        <f>AVERAGE(I25:K25)</f>
        <v>1.0420954997413245E-2</v>
      </c>
      <c r="M25" s="424">
        <f>AVERAGE(J25:L25)</f>
        <v>1.0553074036912977E-2</v>
      </c>
      <c r="N25" s="425">
        <f>AVERAGE(K25:M25)</f>
        <v>1.0525991677928429E-2</v>
      </c>
      <c r="O25" s="429"/>
      <c r="P25" s="440" t="s">
        <v>587</v>
      </c>
      <c r="Q25" s="429"/>
      <c r="R25" s="429"/>
      <c r="S25" s="429"/>
      <c r="T25" s="429"/>
      <c r="U25" s="429"/>
      <c r="V25" s="429"/>
      <c r="W25" s="429"/>
      <c r="X25" s="429"/>
      <c r="Y25" s="429"/>
      <c r="Z25" s="429"/>
    </row>
    <row r="26" spans="1:26" ht="14.25" customHeight="1" x14ac:dyDescent="0.3">
      <c r="B26" s="420">
        <v>22</v>
      </c>
      <c r="C26" s="421" t="s">
        <v>139</v>
      </c>
      <c r="D26" s="422" t="s">
        <v>584</v>
      </c>
      <c r="E26" s="432">
        <f>'INCOME STATEMENT'!C50</f>
        <v>0.04</v>
      </c>
      <c r="F26" s="433">
        <f>'INCOME STATEMENT'!D50</f>
        <v>1.01</v>
      </c>
      <c r="G26" s="433">
        <f>'INCOME STATEMENT'!E50</f>
        <v>0.9</v>
      </c>
      <c r="H26" s="433">
        <f>'INCOME STATEMENT'!F50</f>
        <v>1.48</v>
      </c>
      <c r="I26" s="434">
        <f>'INCOME STATEMENT'!G50</f>
        <v>0.79</v>
      </c>
      <c r="J26" s="432">
        <v>0</v>
      </c>
      <c r="K26" s="433">
        <v>0</v>
      </c>
      <c r="L26" s="433">
        <v>0</v>
      </c>
      <c r="M26" s="433">
        <v>0</v>
      </c>
      <c r="N26" s="434">
        <v>0</v>
      </c>
      <c r="O26" s="441"/>
      <c r="P26" s="421" t="s">
        <v>588</v>
      </c>
      <c r="Q26" s="429"/>
      <c r="R26" s="429"/>
      <c r="S26" s="429"/>
      <c r="T26" s="429"/>
      <c r="U26" s="429"/>
      <c r="V26" s="429"/>
      <c r="W26" s="429"/>
      <c r="X26" s="429"/>
      <c r="Y26" s="429"/>
      <c r="Z26" s="429"/>
    </row>
    <row r="27" spans="1:26" ht="28.5" customHeight="1" x14ac:dyDescent="0.3">
      <c r="B27" s="420">
        <v>23</v>
      </c>
      <c r="C27" s="421" t="s">
        <v>140</v>
      </c>
      <c r="D27" s="422" t="s">
        <v>584</v>
      </c>
      <c r="E27" s="432">
        <f>'INCOME STATEMENT'!C51</f>
        <v>0</v>
      </c>
      <c r="F27" s="433">
        <f>'INCOME STATEMENT'!D51</f>
        <v>0</v>
      </c>
      <c r="G27" s="433">
        <f>'INCOME STATEMENT'!E51</f>
        <v>0</v>
      </c>
      <c r="H27" s="433">
        <f>'INCOME STATEMENT'!F51</f>
        <v>0</v>
      </c>
      <c r="I27" s="434">
        <f>'INCOME STATEMENT'!G51</f>
        <v>0</v>
      </c>
      <c r="J27" s="432">
        <v>0</v>
      </c>
      <c r="K27" s="433">
        <v>0</v>
      </c>
      <c r="L27" s="433">
        <v>0</v>
      </c>
      <c r="M27" s="433">
        <v>0</v>
      </c>
      <c r="N27" s="434">
        <v>0</v>
      </c>
      <c r="O27" s="441"/>
      <c r="P27" s="421" t="s">
        <v>589</v>
      </c>
      <c r="Q27" s="429"/>
      <c r="R27" s="429"/>
      <c r="S27" s="429"/>
      <c r="T27" s="429"/>
      <c r="U27" s="429"/>
      <c r="V27" s="429"/>
      <c r="W27" s="429"/>
      <c r="X27" s="429"/>
      <c r="Y27" s="429"/>
      <c r="Z27" s="429"/>
    </row>
    <row r="28" spans="1:26" ht="28.5" customHeight="1" x14ac:dyDescent="0.3">
      <c r="B28" s="420">
        <v>24</v>
      </c>
      <c r="C28" s="421" t="s">
        <v>141</v>
      </c>
      <c r="D28" s="422" t="s">
        <v>584</v>
      </c>
      <c r="E28" s="432">
        <f>'INCOME STATEMENT'!C52</f>
        <v>-126.14</v>
      </c>
      <c r="F28" s="433">
        <f>'INCOME STATEMENT'!D52</f>
        <v>-13.97</v>
      </c>
      <c r="G28" s="433">
        <f>'INCOME STATEMENT'!E52</f>
        <v>0</v>
      </c>
      <c r="H28" s="433">
        <f>'INCOME STATEMENT'!F52</f>
        <v>0</v>
      </c>
      <c r="I28" s="434">
        <f>'INCOME STATEMENT'!G52</f>
        <v>0</v>
      </c>
      <c r="J28" s="432">
        <v>0</v>
      </c>
      <c r="K28" s="433">
        <v>0</v>
      </c>
      <c r="L28" s="433">
        <v>0</v>
      </c>
      <c r="M28" s="433">
        <v>0</v>
      </c>
      <c r="N28" s="434">
        <v>0</v>
      </c>
      <c r="O28" s="441"/>
      <c r="P28" s="421" t="s">
        <v>590</v>
      </c>
      <c r="Q28" s="429"/>
      <c r="R28" s="429"/>
      <c r="S28" s="429"/>
      <c r="T28" s="429"/>
      <c r="U28" s="429"/>
      <c r="V28" s="429"/>
      <c r="W28" s="429"/>
      <c r="X28" s="429"/>
      <c r="Y28" s="429"/>
      <c r="Z28" s="429"/>
    </row>
    <row r="29" spans="1:26" ht="28.5" customHeight="1" x14ac:dyDescent="0.3">
      <c r="B29" s="420">
        <v>25</v>
      </c>
      <c r="C29" s="421" t="s">
        <v>126</v>
      </c>
      <c r="D29" s="422" t="s">
        <v>591</v>
      </c>
      <c r="E29" s="442"/>
      <c r="F29" s="433">
        <f>'INCOME STATEMENT'!D33</f>
        <v>5.82</v>
      </c>
      <c r="G29" s="433">
        <f>'INCOME STATEMENT'!E33</f>
        <v>4.4000000000000004</v>
      </c>
      <c r="H29" s="433">
        <f>'INCOME STATEMENT'!F33</f>
        <v>5.37</v>
      </c>
      <c r="I29" s="434">
        <f>'INCOME STATEMENT'!G33</f>
        <v>6.94</v>
      </c>
      <c r="J29" s="432">
        <f>AVERAGE(G29:I29)</f>
        <v>5.57</v>
      </c>
      <c r="K29" s="433">
        <f>AVERAGE(H29:J29)</f>
        <v>5.9600000000000009</v>
      </c>
      <c r="L29" s="433">
        <f>AVERAGE(I29:K29)</f>
        <v>6.1566666666666672</v>
      </c>
      <c r="M29" s="433">
        <f>AVERAGE(J29:L29)</f>
        <v>5.8955555555555561</v>
      </c>
      <c r="N29" s="434">
        <f>AVERAGE(K29:M29)</f>
        <v>6.004074074074075</v>
      </c>
      <c r="P29" s="421" t="s">
        <v>592</v>
      </c>
    </row>
    <row r="30" spans="1:26" ht="57" customHeight="1" x14ac:dyDescent="0.3">
      <c r="B30" s="407"/>
      <c r="C30" s="408"/>
      <c r="D30" s="409"/>
      <c r="E30" s="410"/>
      <c r="F30" s="411"/>
      <c r="G30" s="411"/>
      <c r="H30" s="411"/>
      <c r="I30" s="412"/>
      <c r="J30" s="410"/>
      <c r="K30" s="411"/>
      <c r="L30" s="411"/>
      <c r="M30" s="411"/>
      <c r="N30" s="412"/>
      <c r="P30" s="408"/>
    </row>
    <row r="31" spans="1:26" ht="14.25" customHeight="1" x14ac:dyDescent="0.3">
      <c r="A31" s="178"/>
      <c r="B31" s="413"/>
      <c r="C31" s="414" t="s">
        <v>593</v>
      </c>
      <c r="D31" s="415"/>
      <c r="E31" s="416"/>
      <c r="F31" s="417"/>
      <c r="G31" s="417"/>
      <c r="H31" s="417"/>
      <c r="I31" s="418"/>
      <c r="J31" s="416"/>
      <c r="K31" s="417"/>
      <c r="L31" s="417"/>
      <c r="M31" s="417"/>
      <c r="N31" s="418"/>
      <c r="O31" s="178"/>
      <c r="P31" s="419"/>
    </row>
    <row r="32" spans="1:26" ht="57" customHeight="1" x14ac:dyDescent="0.3">
      <c r="B32" s="420">
        <v>26</v>
      </c>
      <c r="C32" s="421" t="s">
        <v>183</v>
      </c>
      <c r="D32" s="422" t="s">
        <v>594</v>
      </c>
      <c r="E32" s="432">
        <f>'BALANCE SHEET'!C10</f>
        <v>11.92</v>
      </c>
      <c r="F32" s="433">
        <f>'BALANCE SHEET'!D10</f>
        <v>8.06</v>
      </c>
      <c r="G32" s="433">
        <f>'BALANCE SHEET'!E10</f>
        <v>17.36</v>
      </c>
      <c r="H32" s="433">
        <f>'BALANCE SHEET'!F10</f>
        <v>18.29</v>
      </c>
      <c r="I32" s="434">
        <f>'BALANCE SHEET'!G10</f>
        <v>21.4</v>
      </c>
      <c r="J32" s="432">
        <v>21.4</v>
      </c>
      <c r="K32" s="433">
        <v>21.4</v>
      </c>
      <c r="L32" s="433">
        <v>21.4</v>
      </c>
      <c r="M32" s="433">
        <v>21.4</v>
      </c>
      <c r="N32" s="434">
        <v>21.4</v>
      </c>
      <c r="O32" s="441"/>
      <c r="P32" s="421" t="s">
        <v>595</v>
      </c>
    </row>
    <row r="33" spans="2:16" ht="14.25" customHeight="1" x14ac:dyDescent="0.3">
      <c r="B33" s="420">
        <v>27</v>
      </c>
      <c r="C33" s="421" t="s">
        <v>184</v>
      </c>
      <c r="D33" s="422" t="s">
        <v>584</v>
      </c>
      <c r="E33" s="432">
        <f>'BALANCE SHEET'!C11</f>
        <v>0</v>
      </c>
      <c r="F33" s="433">
        <f>'BALANCE SHEET'!D11</f>
        <v>0</v>
      </c>
      <c r="G33" s="433">
        <f>'BALANCE SHEET'!E11</f>
        <v>0</v>
      </c>
      <c r="H33" s="433">
        <f>'BALANCE SHEET'!F11</f>
        <v>3.39</v>
      </c>
      <c r="I33" s="434">
        <f>'BALANCE SHEET'!G11</f>
        <v>0</v>
      </c>
      <c r="J33" s="432">
        <v>0</v>
      </c>
      <c r="K33" s="433">
        <v>0</v>
      </c>
      <c r="L33" s="433">
        <v>0</v>
      </c>
      <c r="M33" s="433">
        <v>0</v>
      </c>
      <c r="N33" s="434">
        <v>0</v>
      </c>
      <c r="O33" s="257"/>
      <c r="P33" s="421" t="s">
        <v>596</v>
      </c>
    </row>
    <row r="34" spans="2:16" ht="57" customHeight="1" x14ac:dyDescent="0.3">
      <c r="B34" s="420">
        <v>28</v>
      </c>
      <c r="C34" s="421" t="s">
        <v>186</v>
      </c>
      <c r="D34" s="422" t="s">
        <v>597</v>
      </c>
      <c r="E34" s="432">
        <f>'BALANCE SHEET'!C13</f>
        <v>15.44</v>
      </c>
      <c r="F34" s="433">
        <f>'BALANCE SHEET'!D13</f>
        <v>17.73</v>
      </c>
      <c r="G34" s="433">
        <f>'BALANCE SHEET'!E13</f>
        <v>18.02</v>
      </c>
      <c r="H34" s="433">
        <f>'BALANCE SHEET'!F13</f>
        <v>17.649999999999999</v>
      </c>
      <c r="I34" s="434">
        <f>'BALANCE SHEET'!G13</f>
        <v>17.73</v>
      </c>
      <c r="J34" s="432">
        <v>17.73</v>
      </c>
      <c r="K34" s="433">
        <v>17.73</v>
      </c>
      <c r="L34" s="433">
        <v>17.73</v>
      </c>
      <c r="M34" s="433">
        <v>17.73</v>
      </c>
      <c r="N34" s="434">
        <v>17.73</v>
      </c>
      <c r="O34" s="257"/>
      <c r="P34" s="421" t="s">
        <v>598</v>
      </c>
    </row>
    <row r="35" spans="2:16" ht="57" customHeight="1" x14ac:dyDescent="0.3">
      <c r="B35" s="420">
        <v>29</v>
      </c>
      <c r="C35" s="421" t="s">
        <v>187</v>
      </c>
      <c r="D35" s="422" t="s">
        <v>599</v>
      </c>
      <c r="E35" s="432">
        <f>'BALANCE SHEET'!C14</f>
        <v>7.1</v>
      </c>
      <c r="F35" s="433">
        <f>'BALANCE SHEET'!D14</f>
        <v>0</v>
      </c>
      <c r="G35" s="433">
        <f>'BALANCE SHEET'!E14</f>
        <v>0</v>
      </c>
      <c r="H35" s="433">
        <f>'BALANCE SHEET'!F14</f>
        <v>20</v>
      </c>
      <c r="I35" s="434">
        <f>'BALANCE SHEET'!G14</f>
        <v>20</v>
      </c>
      <c r="J35" s="432">
        <v>20</v>
      </c>
      <c r="K35" s="433">
        <v>20</v>
      </c>
      <c r="L35" s="433">
        <v>20</v>
      </c>
      <c r="M35" s="433">
        <v>20</v>
      </c>
      <c r="N35" s="434">
        <v>20</v>
      </c>
      <c r="O35" s="257"/>
      <c r="P35" s="421" t="s">
        <v>600</v>
      </c>
    </row>
    <row r="36" spans="2:16" ht="28.5" customHeight="1" x14ac:dyDescent="0.3">
      <c r="B36" s="420">
        <v>30</v>
      </c>
      <c r="C36" s="421" t="s">
        <v>188</v>
      </c>
      <c r="D36" s="422" t="s">
        <v>601</v>
      </c>
      <c r="E36" s="432">
        <f>'BALANCE SHEET'!C15</f>
        <v>141.59</v>
      </c>
      <c r="F36" s="433">
        <f>'BALANCE SHEET'!D15</f>
        <v>141.16</v>
      </c>
      <c r="G36" s="433">
        <f>'BALANCE SHEET'!E15</f>
        <v>131.66999999999999</v>
      </c>
      <c r="H36" s="433">
        <f>'BALANCE SHEET'!F15</f>
        <v>137.44999999999999</v>
      </c>
      <c r="I36" s="434">
        <f>'BALANCE SHEET'!G15</f>
        <v>145.97999999999999</v>
      </c>
      <c r="J36" s="432">
        <f>(1+0.055)*I36</f>
        <v>154.00889999999998</v>
      </c>
      <c r="K36" s="433">
        <f>(1+0.055)*J36</f>
        <v>162.47938949999997</v>
      </c>
      <c r="L36" s="433">
        <f>(1+0.055)*K36</f>
        <v>171.41575592249995</v>
      </c>
      <c r="M36" s="433">
        <f>(1+0.055)*L36</f>
        <v>180.84362249823744</v>
      </c>
      <c r="N36" s="434">
        <f>(1+0.055)*M36</f>
        <v>190.79002173564049</v>
      </c>
      <c r="O36" s="257"/>
      <c r="P36" s="421" t="s">
        <v>602</v>
      </c>
    </row>
    <row r="37" spans="2:16" ht="28.5" customHeight="1" x14ac:dyDescent="0.3">
      <c r="B37" s="420">
        <v>31</v>
      </c>
      <c r="C37" s="421" t="s">
        <v>192</v>
      </c>
      <c r="D37" s="422" t="s">
        <v>484</v>
      </c>
      <c r="E37" s="432">
        <f>'BALANCE SHEET'!C19</f>
        <v>841.02</v>
      </c>
      <c r="F37" s="433">
        <f>'BALANCE SHEET'!D19</f>
        <v>724.49</v>
      </c>
      <c r="G37" s="433">
        <f>'BALANCE SHEET'!E19</f>
        <v>829.45</v>
      </c>
      <c r="H37" s="433">
        <f>'BALANCE SHEET'!F19</f>
        <v>678.94</v>
      </c>
      <c r="I37" s="434">
        <f>'BALANCE SHEET'!G19</f>
        <v>393.4</v>
      </c>
      <c r="J37" s="432">
        <f>AVERAGE(G37:I37)</f>
        <v>633.92999999999995</v>
      </c>
      <c r="K37" s="433">
        <f>AVERAGE(H37:J37)</f>
        <v>568.75666666666666</v>
      </c>
      <c r="L37" s="433">
        <f>AVERAGE(I37:K37)</f>
        <v>532.0288888888889</v>
      </c>
      <c r="M37" s="433">
        <f>AVERAGE(J37:L37)</f>
        <v>578.2385185185185</v>
      </c>
      <c r="N37" s="434">
        <f>AVERAGE(K37:M37)</f>
        <v>559.67469135802469</v>
      </c>
      <c r="O37" s="257"/>
      <c r="P37" s="421" t="s">
        <v>603</v>
      </c>
    </row>
    <row r="38" spans="2:16" ht="42.75" customHeight="1" x14ac:dyDescent="0.3">
      <c r="B38" s="420">
        <v>32</v>
      </c>
      <c r="C38" s="421" t="s">
        <v>202</v>
      </c>
      <c r="D38" s="422" t="s">
        <v>584</v>
      </c>
      <c r="E38" s="432">
        <f>'BALANCE SHEET'!C31</f>
        <v>2.12</v>
      </c>
      <c r="F38" s="433">
        <f>'BALANCE SHEET'!D31</f>
        <v>0</v>
      </c>
      <c r="G38" s="433">
        <f>'BALANCE SHEET'!E31</f>
        <v>0</v>
      </c>
      <c r="H38" s="433">
        <f>'BALANCE SHEET'!F31</f>
        <v>0</v>
      </c>
      <c r="I38" s="434">
        <f>'BALANCE SHEET'!G31</f>
        <v>0</v>
      </c>
      <c r="J38" s="432">
        <v>0</v>
      </c>
      <c r="K38" s="433">
        <v>0</v>
      </c>
      <c r="L38" s="433">
        <v>0</v>
      </c>
      <c r="M38" s="433">
        <v>0</v>
      </c>
      <c r="N38" s="434">
        <v>0</v>
      </c>
      <c r="O38" s="257"/>
      <c r="P38" s="421" t="s">
        <v>604</v>
      </c>
    </row>
    <row r="39" spans="2:16" ht="28.5" customHeight="1" x14ac:dyDescent="0.3">
      <c r="B39" s="420">
        <v>33</v>
      </c>
      <c r="C39" s="421" t="s">
        <v>203</v>
      </c>
      <c r="D39" s="422" t="s">
        <v>605</v>
      </c>
      <c r="E39" s="435">
        <f>'BALANCE SHEET'!C32/'FORECAST SCHEDULES'!E223</f>
        <v>1.0920591209311334E-2</v>
      </c>
      <c r="F39" s="424">
        <f>'BALANCE SHEET'!D32/'FORECAST SCHEDULES'!F223</f>
        <v>1.0513259480413577E-2</v>
      </c>
      <c r="G39" s="424">
        <f>'BALANCE SHEET'!E32/'FORECAST SCHEDULES'!G223</f>
        <v>1.5853171278693599E-2</v>
      </c>
      <c r="H39" s="424">
        <f>'BALANCE SHEET'!F32/'FORECAST SCHEDULES'!H223</f>
        <v>1.8085851341742676E-2</v>
      </c>
      <c r="I39" s="425">
        <f>'BALANCE SHEET'!G32/'FORECAST SCHEDULES'!I223</f>
        <v>2.4725920090732351E-2</v>
      </c>
      <c r="J39" s="435">
        <f>AVERAGE(G39:I39)</f>
        <v>1.9554980903722874E-2</v>
      </c>
      <c r="K39" s="424">
        <f>AVERAGE(H39:J39)</f>
        <v>2.0788917445399301E-2</v>
      </c>
      <c r="L39" s="424">
        <f>AVERAGE(I39:K39)</f>
        <v>2.1689939479951511E-2</v>
      </c>
      <c r="M39" s="424">
        <f>AVERAGE(J39:L39)</f>
        <v>2.0677945943024564E-2</v>
      </c>
      <c r="N39" s="425">
        <f>AVERAGE(K39:M39)</f>
        <v>2.1052267622791793E-2</v>
      </c>
      <c r="O39" s="257"/>
      <c r="P39" s="421" t="s">
        <v>606</v>
      </c>
    </row>
    <row r="40" spans="2:16" ht="14.25" customHeight="1" x14ac:dyDescent="0.3">
      <c r="B40" s="420">
        <v>34</v>
      </c>
      <c r="C40" s="421" t="s">
        <v>205</v>
      </c>
      <c r="D40" s="422" t="s">
        <v>584</v>
      </c>
      <c r="E40" s="432">
        <f>'BALANCE SHEET'!C34</f>
        <v>0.35</v>
      </c>
      <c r="F40" s="433">
        <f>'BALANCE SHEET'!D34</f>
        <v>0.44</v>
      </c>
      <c r="G40" s="433">
        <f>'BALANCE SHEET'!E34</f>
        <v>0.32</v>
      </c>
      <c r="H40" s="433">
        <f>'BALANCE SHEET'!F34</f>
        <v>7.0000000000000007E-2</v>
      </c>
      <c r="I40" s="434">
        <f>'BALANCE SHEET'!G34</f>
        <v>0.06</v>
      </c>
      <c r="J40" s="432">
        <v>0</v>
      </c>
      <c r="K40" s="433">
        <v>0</v>
      </c>
      <c r="L40" s="433">
        <v>0</v>
      </c>
      <c r="M40" s="433">
        <v>0</v>
      </c>
      <c r="N40" s="434">
        <v>0</v>
      </c>
      <c r="O40" s="257"/>
      <c r="P40" s="421" t="s">
        <v>607</v>
      </c>
    </row>
    <row r="41" spans="2:16" ht="54.75" customHeight="1" x14ac:dyDescent="0.3">
      <c r="B41" s="420">
        <v>35</v>
      </c>
      <c r="C41" s="421" t="s">
        <v>206</v>
      </c>
      <c r="D41" s="422" t="s">
        <v>579</v>
      </c>
      <c r="E41" s="435">
        <f>'BALANCE SHEET'!C35/SUM('INCOME STATEMENT'!C12:C13)</f>
        <v>2.3958913697767201</v>
      </c>
      <c r="F41" s="424">
        <f>'BALANCE SHEET'!D35/SUM('INCOME STATEMENT'!D12:D13)</f>
        <v>1.435891845285141</v>
      </c>
      <c r="G41" s="424">
        <f>'BALANCE SHEET'!E35/SUM('INCOME STATEMENT'!E12:E13)</f>
        <v>0.7033472466773325</v>
      </c>
      <c r="H41" s="424">
        <f>'BALANCE SHEET'!F35/SUM('INCOME STATEMENT'!F12:F13)</f>
        <v>0.55270495362266658</v>
      </c>
      <c r="I41" s="425">
        <f>'BALANCE SHEET'!G35/SUM('INCOME STATEMENT'!G12:G13)</f>
        <v>0.29531707818577468</v>
      </c>
      <c r="J41" s="435">
        <f>AVERAGE(G41:I41)</f>
        <v>0.51712309282859126</v>
      </c>
      <c r="K41" s="424">
        <f>AVERAGE(H41:J41)</f>
        <v>0.45504837487901084</v>
      </c>
      <c r="L41" s="424">
        <f>AVERAGE(I41:K41)</f>
        <v>0.42249618196445898</v>
      </c>
      <c r="M41" s="424">
        <f>AVERAGE(J41:L41)</f>
        <v>0.46488921655735371</v>
      </c>
      <c r="N41" s="425">
        <f>AVERAGE(K41:M41)</f>
        <v>0.44747792446694118</v>
      </c>
      <c r="O41" s="257"/>
      <c r="P41" s="421" t="s">
        <v>608</v>
      </c>
    </row>
    <row r="42" spans="2:16" ht="54.75" customHeight="1" x14ac:dyDescent="0.3">
      <c r="B42" s="420">
        <v>36</v>
      </c>
      <c r="C42" s="421" t="s">
        <v>609</v>
      </c>
      <c r="D42" s="422" t="s">
        <v>610</v>
      </c>
      <c r="E42" s="432">
        <f>'BALANCE SHEET'!C33</f>
        <v>213.7</v>
      </c>
      <c r="F42" s="433">
        <f>'BALANCE SHEET'!D33</f>
        <v>407</v>
      </c>
      <c r="G42" s="433">
        <f>'BALANCE SHEET'!E33</f>
        <v>283.23</v>
      </c>
      <c r="H42" s="433">
        <f>'BALANCE SHEET'!F33</f>
        <v>57.3</v>
      </c>
      <c r="I42" s="434">
        <f>'BALANCE SHEET'!G33</f>
        <v>604.84</v>
      </c>
      <c r="J42" s="432">
        <f>I42*(1+'ASSUMPTIONS AND REASONING'!J5)</f>
        <v>677.4208000000001</v>
      </c>
      <c r="K42" s="433">
        <f>J42*(1+'ASSUMPTIONS AND REASONING'!K5)</f>
        <v>738.38867200000016</v>
      </c>
      <c r="L42" s="433">
        <f>K42*(1+'ASSUMPTIONS AND REASONING'!L5)</f>
        <v>812.22753920000025</v>
      </c>
      <c r="M42" s="433">
        <f>L42*(1+'ASSUMPTIONS AND REASONING'!M5)</f>
        <v>925.93939468800033</v>
      </c>
      <c r="N42" s="434">
        <f>M42*(1+'ASSUMPTIONS AND REASONING'!N5)</f>
        <v>1074.0896978380804</v>
      </c>
      <c r="O42" s="257"/>
      <c r="P42" s="421" t="s">
        <v>611</v>
      </c>
    </row>
    <row r="43" spans="2:16" ht="28.5" customHeight="1" x14ac:dyDescent="0.3">
      <c r="B43" s="420">
        <v>37</v>
      </c>
      <c r="C43" s="421" t="s">
        <v>218</v>
      </c>
      <c r="D43" s="422" t="s">
        <v>584</v>
      </c>
      <c r="E43" s="432">
        <f>'BALANCE SHEET'!C51</f>
        <v>30.41</v>
      </c>
      <c r="F43" s="433">
        <f>'BALANCE SHEET'!D51</f>
        <v>0.97</v>
      </c>
      <c r="G43" s="433">
        <f>'BALANCE SHEET'!E51</f>
        <v>0.48</v>
      </c>
      <c r="H43" s="433">
        <f>'BALANCE SHEET'!F51</f>
        <v>0.69</v>
      </c>
      <c r="I43" s="434">
        <f>'BALANCE SHEET'!G51</f>
        <v>0.49</v>
      </c>
      <c r="J43" s="432">
        <v>0</v>
      </c>
      <c r="K43" s="433">
        <v>0</v>
      </c>
      <c r="L43" s="433">
        <v>0</v>
      </c>
      <c r="M43" s="433">
        <v>0</v>
      </c>
      <c r="N43" s="434">
        <v>0</v>
      </c>
      <c r="O43" s="257"/>
      <c r="P43" s="421" t="s">
        <v>612</v>
      </c>
    </row>
    <row r="44" spans="2:16" ht="28.5" customHeight="1" x14ac:dyDescent="0.3">
      <c r="B44" s="420">
        <v>38</v>
      </c>
      <c r="C44" s="421" t="s">
        <v>222</v>
      </c>
      <c r="D44" s="422" t="s">
        <v>613</v>
      </c>
      <c r="E44" s="432">
        <f>'BALANCE SHEET'!C57</f>
        <v>148.02000000000001</v>
      </c>
      <c r="F44" s="433">
        <f>'BALANCE SHEET'!D57</f>
        <v>140.37</v>
      </c>
      <c r="G44" s="433">
        <f>'BALANCE SHEET'!E57</f>
        <v>133.5</v>
      </c>
      <c r="H44" s="433">
        <f>'BALANCE SHEET'!F57</f>
        <v>126.63</v>
      </c>
      <c r="I44" s="434">
        <f>'BALANCE SHEET'!G57</f>
        <v>119.75</v>
      </c>
      <c r="J44" s="432">
        <f>I44-6.87</f>
        <v>112.88</v>
      </c>
      <c r="K44" s="433">
        <f>J44-6.87</f>
        <v>106.00999999999999</v>
      </c>
      <c r="L44" s="433">
        <f>K44-6.87</f>
        <v>99.139999999999986</v>
      </c>
      <c r="M44" s="433">
        <f>L44-6.87</f>
        <v>92.269999999999982</v>
      </c>
      <c r="N44" s="434">
        <f>M44-6.87</f>
        <v>85.399999999999977</v>
      </c>
      <c r="O44" s="257"/>
      <c r="P44" s="421" t="s">
        <v>614</v>
      </c>
    </row>
    <row r="45" spans="2:16" ht="28.5" customHeight="1" x14ac:dyDescent="0.3">
      <c r="B45" s="420">
        <v>39</v>
      </c>
      <c r="C45" s="421" t="s">
        <v>228</v>
      </c>
      <c r="D45" s="422" t="s">
        <v>615</v>
      </c>
      <c r="E45" s="432">
        <f>'BALANCE SHEET'!C64</f>
        <v>158.11000000000001</v>
      </c>
      <c r="F45" s="433">
        <f>'BALANCE SHEET'!D64</f>
        <v>169.73</v>
      </c>
      <c r="G45" s="433">
        <f>'BALANCE SHEET'!E64</f>
        <v>146.58000000000001</v>
      </c>
      <c r="H45" s="433">
        <f>'BALANCE SHEET'!F64</f>
        <v>217.73</v>
      </c>
      <c r="I45" s="434">
        <f>'BALANCE SHEET'!G64</f>
        <v>259.29000000000002</v>
      </c>
      <c r="J45" s="432">
        <f>I45*(1+J13)</f>
        <v>283.62862485639192</v>
      </c>
      <c r="K45" s="433">
        <f>J45*(1+K13)</f>
        <v>309.55125209802452</v>
      </c>
      <c r="L45" s="433">
        <f>K45*(1+L13)</f>
        <v>337.5015255513481</v>
      </c>
      <c r="M45" s="433">
        <f>L45*(1+M13)</f>
        <v>368.50167888322522</v>
      </c>
      <c r="N45" s="434">
        <f>M45*(1+N13)</f>
        <v>402.10180209201332</v>
      </c>
      <c r="O45" s="257"/>
      <c r="P45" s="421" t="s">
        <v>616</v>
      </c>
    </row>
    <row r="46" spans="2:16" ht="41.25" customHeight="1" x14ac:dyDescent="0.3">
      <c r="B46" s="420">
        <v>40</v>
      </c>
      <c r="C46" s="421" t="s">
        <v>230</v>
      </c>
      <c r="D46" s="422" t="s">
        <v>617</v>
      </c>
      <c r="E46" s="435">
        <f>'BALANCE SHEET'!C66/'INCOME STATEMENT'!C27</f>
        <v>4.3122948783326136E-3</v>
      </c>
      <c r="F46" s="424">
        <f>'BALANCE SHEET'!D66/'INCOME STATEMENT'!D27</f>
        <v>3.6292742583862092E-3</v>
      </c>
      <c r="G46" s="424">
        <f>'BALANCE SHEET'!E66/'INCOME STATEMENT'!E27</f>
        <v>2.4582537862514187E-3</v>
      </c>
      <c r="H46" s="424">
        <f>'BALANCE SHEET'!F66/'INCOME STATEMENT'!F27</f>
        <v>6.9845077014563679E-3</v>
      </c>
      <c r="I46" s="425">
        <f>'BALANCE SHEET'!G66/'INCOME STATEMENT'!G27</f>
        <v>3.2565573962905973E-3</v>
      </c>
      <c r="J46" s="435">
        <f t="shared" ref="J46:N47" si="5">AVERAGE(G46:I46)</f>
        <v>4.2331062946661278E-3</v>
      </c>
      <c r="K46" s="424">
        <f t="shared" si="5"/>
        <v>4.8247237974710306E-3</v>
      </c>
      <c r="L46" s="424">
        <f t="shared" si="5"/>
        <v>4.104795829475919E-3</v>
      </c>
      <c r="M46" s="424">
        <f t="shared" si="5"/>
        <v>4.3875419738710264E-3</v>
      </c>
      <c r="N46" s="425">
        <f t="shared" si="5"/>
        <v>4.439020533605992E-3</v>
      </c>
      <c r="O46" s="257"/>
      <c r="P46" s="421" t="s">
        <v>618</v>
      </c>
    </row>
    <row r="47" spans="2:16" ht="28.5" customHeight="1" x14ac:dyDescent="0.3">
      <c r="B47" s="420">
        <v>41</v>
      </c>
      <c r="C47" s="421" t="s">
        <v>190</v>
      </c>
      <c r="D47" s="422" t="s">
        <v>313</v>
      </c>
      <c r="E47" s="436"/>
      <c r="F47" s="433">
        <f>'BALANCE SHEET'!D17</f>
        <v>313.2</v>
      </c>
      <c r="G47" s="433">
        <f>'BALANCE SHEET'!E17</f>
        <v>265.5</v>
      </c>
      <c r="H47" s="433">
        <f>'BALANCE SHEET'!F17</f>
        <v>178.56</v>
      </c>
      <c r="I47" s="434">
        <f>'BALANCE SHEET'!G17</f>
        <v>259.20999999999998</v>
      </c>
      <c r="J47" s="432">
        <f t="shared" si="5"/>
        <v>234.42333333333332</v>
      </c>
      <c r="K47" s="433">
        <f t="shared" si="5"/>
        <v>224.06444444444443</v>
      </c>
      <c r="L47" s="433">
        <f t="shared" si="5"/>
        <v>239.2325925925926</v>
      </c>
      <c r="M47" s="433">
        <f t="shared" si="5"/>
        <v>232.57345679012346</v>
      </c>
      <c r="N47" s="434">
        <f t="shared" si="5"/>
        <v>231.95683127572019</v>
      </c>
      <c r="P47" s="421" t="s">
        <v>619</v>
      </c>
    </row>
    <row r="48" spans="2:16" ht="14.25" customHeight="1" x14ac:dyDescent="0.3">
      <c r="B48" s="407"/>
      <c r="C48" s="408"/>
      <c r="D48" s="409"/>
      <c r="E48" s="443"/>
      <c r="F48" s="441"/>
      <c r="G48" s="441"/>
      <c r="H48" s="441"/>
      <c r="I48" s="444"/>
      <c r="J48" s="443"/>
      <c r="K48" s="441"/>
      <c r="L48" s="441"/>
      <c r="M48" s="441"/>
      <c r="N48" s="444"/>
      <c r="O48" s="257"/>
      <c r="P48" s="408"/>
    </row>
    <row r="49" spans="1:16" ht="14.25" customHeight="1" x14ac:dyDescent="0.3">
      <c r="A49" s="178"/>
      <c r="B49" s="413"/>
      <c r="C49" s="414" t="s">
        <v>620</v>
      </c>
      <c r="D49" s="415"/>
      <c r="E49" s="416"/>
      <c r="F49" s="417"/>
      <c r="G49" s="417"/>
      <c r="H49" s="417"/>
      <c r="I49" s="418"/>
      <c r="J49" s="416"/>
      <c r="K49" s="417"/>
      <c r="L49" s="417"/>
      <c r="M49" s="417"/>
      <c r="N49" s="418"/>
      <c r="O49" s="178"/>
      <c r="P49" s="419"/>
    </row>
    <row r="50" spans="1:16" ht="14.25" customHeight="1" x14ac:dyDescent="0.3">
      <c r="B50" s="420">
        <v>42</v>
      </c>
      <c r="C50" s="421" t="s">
        <v>621</v>
      </c>
      <c r="D50" s="422" t="s">
        <v>584</v>
      </c>
      <c r="E50" s="445"/>
      <c r="F50" s="433">
        <f>'CASH FLOW STATEMENT '!D9</f>
        <v>0.15</v>
      </c>
      <c r="G50" s="433">
        <f>'CASH FLOW STATEMENT '!E9</f>
        <v>0.15</v>
      </c>
      <c r="H50" s="433">
        <f>'CASH FLOW STATEMENT '!F9</f>
        <v>0.15</v>
      </c>
      <c r="I50" s="434">
        <f>'CASH FLOW STATEMENT '!G9</f>
        <v>0</v>
      </c>
      <c r="J50" s="432">
        <v>0</v>
      </c>
      <c r="K50" s="433">
        <v>0</v>
      </c>
      <c r="L50" s="433">
        <v>0</v>
      </c>
      <c r="M50" s="433">
        <v>0</v>
      </c>
      <c r="N50" s="434">
        <v>0</v>
      </c>
      <c r="P50" s="421" t="s">
        <v>622</v>
      </c>
    </row>
    <row r="51" spans="1:16" ht="27.75" customHeight="1" x14ac:dyDescent="0.3">
      <c r="B51" s="420">
        <v>43</v>
      </c>
      <c r="C51" s="421" t="s">
        <v>623</v>
      </c>
      <c r="D51" s="422" t="s">
        <v>584</v>
      </c>
      <c r="E51" s="436"/>
      <c r="F51" s="433">
        <f>'CASH FLOW STATEMENT '!D10</f>
        <v>0</v>
      </c>
      <c r="G51" s="433">
        <f>'CASH FLOW STATEMENT '!E10</f>
        <v>0</v>
      </c>
      <c r="H51" s="433">
        <f>'CASH FLOW STATEMENT '!F10</f>
        <v>0.02</v>
      </c>
      <c r="I51" s="434">
        <f>'CASH FLOW STATEMENT '!G10</f>
        <v>1.27</v>
      </c>
      <c r="J51" s="432">
        <v>0</v>
      </c>
      <c r="K51" s="433">
        <v>0</v>
      </c>
      <c r="L51" s="433">
        <v>0</v>
      </c>
      <c r="M51" s="433">
        <v>0</v>
      </c>
      <c r="N51" s="434">
        <v>0</v>
      </c>
      <c r="P51" s="421" t="s">
        <v>624</v>
      </c>
    </row>
    <row r="52" spans="1:16" ht="27.75" customHeight="1" x14ac:dyDescent="0.3">
      <c r="B52" s="420">
        <v>44</v>
      </c>
      <c r="C52" s="421" t="s">
        <v>625</v>
      </c>
      <c r="D52" s="422" t="s">
        <v>626</v>
      </c>
      <c r="E52" s="436"/>
      <c r="F52" s="433">
        <f>'CASH FLOW STATEMENT '!D15</f>
        <v>-7.0000000000000007E-2</v>
      </c>
      <c r="G52" s="433">
        <f>'CASH FLOW STATEMENT '!E15</f>
        <v>-0.05</v>
      </c>
      <c r="H52" s="433">
        <f>'CASH FLOW STATEMENT '!F15</f>
        <v>-0.04</v>
      </c>
      <c r="I52" s="434">
        <f>'CASH FLOW STATEMENT '!G15</f>
        <v>-0.06</v>
      </c>
      <c r="J52" s="432">
        <v>-0.06</v>
      </c>
      <c r="K52" s="433">
        <v>-0.06</v>
      </c>
      <c r="L52" s="433">
        <v>-0.06</v>
      </c>
      <c r="M52" s="433">
        <v>-0.06</v>
      </c>
      <c r="N52" s="434">
        <v>-0.06</v>
      </c>
      <c r="P52" s="421" t="s">
        <v>627</v>
      </c>
    </row>
    <row r="53" spans="1:16" ht="27.75" customHeight="1" x14ac:dyDescent="0.3">
      <c r="B53" s="420">
        <v>45</v>
      </c>
      <c r="C53" s="421" t="s">
        <v>628</v>
      </c>
      <c r="D53" s="422" t="s">
        <v>629</v>
      </c>
      <c r="E53" s="436"/>
      <c r="F53" s="433">
        <f>'CASH FLOW STATEMENT '!D16</f>
        <v>-7.63</v>
      </c>
      <c r="G53" s="433">
        <f>'CASH FLOW STATEMENT '!E16</f>
        <v>-6.87</v>
      </c>
      <c r="H53" s="433">
        <f>'CASH FLOW STATEMENT '!F16</f>
        <v>-6.87</v>
      </c>
      <c r="I53" s="434">
        <f>'CASH FLOW STATEMENT '!G16</f>
        <v>-6.87</v>
      </c>
      <c r="J53" s="432">
        <v>-6.87</v>
      </c>
      <c r="K53" s="433">
        <v>-6.87</v>
      </c>
      <c r="L53" s="433">
        <v>-6.87</v>
      </c>
      <c r="M53" s="433">
        <v>-6.87</v>
      </c>
      <c r="N53" s="434">
        <v>-6.87</v>
      </c>
      <c r="P53" s="421" t="s">
        <v>630</v>
      </c>
    </row>
    <row r="54" spans="1:16" ht="14.25" customHeight="1" x14ac:dyDescent="0.3">
      <c r="B54" s="420">
        <v>46</v>
      </c>
      <c r="C54" s="421" t="s">
        <v>631</v>
      </c>
      <c r="D54" s="422" t="s">
        <v>584</v>
      </c>
      <c r="E54" s="436"/>
      <c r="F54" s="433">
        <f>'CASH FLOW STATEMENT '!D18</f>
        <v>-0.22</v>
      </c>
      <c r="G54" s="433">
        <f>'CASH FLOW STATEMENT '!E18</f>
        <v>-0.23</v>
      </c>
      <c r="H54" s="433">
        <f>'CASH FLOW STATEMENT '!F18</f>
        <v>-0.25</v>
      </c>
      <c r="I54" s="434">
        <f>'CASH FLOW STATEMENT '!G18</f>
        <v>0</v>
      </c>
      <c r="J54" s="432">
        <v>0</v>
      </c>
      <c r="K54" s="433">
        <v>0</v>
      </c>
      <c r="L54" s="433">
        <v>0</v>
      </c>
      <c r="M54" s="433">
        <v>0</v>
      </c>
      <c r="N54" s="434">
        <v>0</v>
      </c>
      <c r="P54" s="421" t="s">
        <v>632</v>
      </c>
    </row>
    <row r="55" spans="1:16" ht="27.75" customHeight="1" x14ac:dyDescent="0.3">
      <c r="B55" s="420">
        <v>47</v>
      </c>
      <c r="C55" s="421" t="s">
        <v>633</v>
      </c>
      <c r="D55" s="422" t="s">
        <v>313</v>
      </c>
      <c r="E55" s="436"/>
      <c r="F55" s="433">
        <f>'CASH FLOW STATEMENT '!D36</f>
        <v>1.27</v>
      </c>
      <c r="G55" s="433">
        <f>'CASH FLOW STATEMENT '!E36</f>
        <v>1.31</v>
      </c>
      <c r="H55" s="433">
        <f>'CASH FLOW STATEMENT '!F36</f>
        <v>1.66</v>
      </c>
      <c r="I55" s="434">
        <f>'CASH FLOW STATEMENT '!G36</f>
        <v>0.92</v>
      </c>
      <c r="J55" s="432">
        <f>AVERAGE(G55:I55)</f>
        <v>1.2966666666666666</v>
      </c>
      <c r="K55" s="433">
        <f>AVERAGE(H55:J55)</f>
        <v>1.2922222222222224</v>
      </c>
      <c r="L55" s="433">
        <f>AVERAGE(I55:K55)</f>
        <v>1.1696296296296298</v>
      </c>
      <c r="M55" s="433">
        <f>AVERAGE(J55:L55)</f>
        <v>1.2528395061728397</v>
      </c>
      <c r="N55" s="434">
        <f>AVERAGE(K55:M55)</f>
        <v>1.2382304526748973</v>
      </c>
      <c r="P55" s="421" t="s">
        <v>634</v>
      </c>
    </row>
    <row r="56" spans="1:16" ht="57" customHeight="1" x14ac:dyDescent="0.3">
      <c r="B56" s="420">
        <v>48</v>
      </c>
      <c r="C56" s="421" t="s">
        <v>635</v>
      </c>
      <c r="D56" s="422" t="s">
        <v>584</v>
      </c>
      <c r="E56" s="436"/>
      <c r="F56" s="433">
        <f>'CASH FLOW STATEMENT '!D47</f>
        <v>0</v>
      </c>
      <c r="G56" s="433">
        <f>'CASH FLOW STATEMENT '!E47</f>
        <v>-0.02</v>
      </c>
      <c r="H56" s="433">
        <f>'CASH FLOW STATEMENT '!F47</f>
        <v>0</v>
      </c>
      <c r="I56" s="434">
        <f>'CASH FLOW STATEMENT '!G47</f>
        <v>0</v>
      </c>
      <c r="J56" s="432">
        <v>0</v>
      </c>
      <c r="K56" s="433">
        <v>0</v>
      </c>
      <c r="L56" s="433">
        <v>0</v>
      </c>
      <c r="M56" s="433">
        <v>0</v>
      </c>
      <c r="N56" s="434">
        <v>0</v>
      </c>
      <c r="O56" s="446"/>
      <c r="P56" s="421" t="s">
        <v>636</v>
      </c>
    </row>
    <row r="57" spans="1:16" ht="14.25" customHeight="1" x14ac:dyDescent="0.3">
      <c r="D57" s="393"/>
      <c r="P57" s="165"/>
    </row>
    <row r="58" spans="1:16" ht="14.25" customHeight="1" x14ac:dyDescent="0.3">
      <c r="D58" s="393"/>
      <c r="P58" s="165"/>
    </row>
    <row r="59" spans="1:16" ht="14.25" customHeight="1" x14ac:dyDescent="0.3">
      <c r="D59" s="393"/>
      <c r="P59" s="165"/>
    </row>
    <row r="60" spans="1:16" ht="14.25" customHeight="1" x14ac:dyDescent="0.3">
      <c r="D60" s="393"/>
      <c r="P60" s="165"/>
    </row>
    <row r="61" spans="1:16" ht="14.25" customHeight="1" x14ac:dyDescent="0.3">
      <c r="D61" s="393"/>
      <c r="P61" s="165"/>
    </row>
    <row r="62" spans="1:16" ht="14.25" customHeight="1" x14ac:dyDescent="0.3">
      <c r="D62" s="393"/>
      <c r="P62" s="165"/>
    </row>
    <row r="63" spans="1:16" ht="14.25" customHeight="1" x14ac:dyDescent="0.3">
      <c r="D63" s="393"/>
      <c r="P63" s="165"/>
    </row>
    <row r="64" spans="1:16" ht="14.25" customHeight="1" x14ac:dyDescent="0.3">
      <c r="D64" s="393"/>
      <c r="P64" s="165"/>
    </row>
    <row r="65" spans="4:16" ht="14.25" customHeight="1" x14ac:dyDescent="0.3">
      <c r="D65" s="393"/>
      <c r="P65" s="165"/>
    </row>
    <row r="66" spans="4:16" ht="14.25" customHeight="1" x14ac:dyDescent="0.3">
      <c r="D66" s="393"/>
      <c r="P66" s="165"/>
    </row>
    <row r="67" spans="4:16" ht="14.25" customHeight="1" x14ac:dyDescent="0.3">
      <c r="D67" s="393"/>
      <c r="P67" s="165"/>
    </row>
    <row r="68" spans="4:16" ht="14.25" customHeight="1" x14ac:dyDescent="0.3">
      <c r="D68" s="393"/>
      <c r="P68" s="165"/>
    </row>
    <row r="69" spans="4:16" ht="14.25" customHeight="1" x14ac:dyDescent="0.3">
      <c r="D69" s="393"/>
      <c r="P69" s="165"/>
    </row>
    <row r="70" spans="4:16" ht="14.25" customHeight="1" x14ac:dyDescent="0.3">
      <c r="D70" s="393"/>
      <c r="P70" s="165"/>
    </row>
    <row r="71" spans="4:16" ht="14.25" customHeight="1" x14ac:dyDescent="0.3">
      <c r="D71" s="393"/>
      <c r="P71" s="165"/>
    </row>
    <row r="72" spans="4:16" ht="14.25" customHeight="1" x14ac:dyDescent="0.3">
      <c r="D72" s="393"/>
      <c r="P72" s="165"/>
    </row>
    <row r="73" spans="4:16" ht="14.25" customHeight="1" x14ac:dyDescent="0.3">
      <c r="D73" s="393"/>
      <c r="P73" s="165"/>
    </row>
    <row r="74" spans="4:16" ht="14.25" customHeight="1" x14ac:dyDescent="0.3">
      <c r="D74" s="393"/>
      <c r="P74" s="165"/>
    </row>
    <row r="75" spans="4:16" ht="14.25" customHeight="1" x14ac:dyDescent="0.3">
      <c r="D75" s="393"/>
      <c r="P75" s="165"/>
    </row>
    <row r="76" spans="4:16" ht="14.25" customHeight="1" x14ac:dyDescent="0.3">
      <c r="D76" s="393"/>
      <c r="P76" s="165"/>
    </row>
    <row r="77" spans="4:16" ht="14.25" customHeight="1" x14ac:dyDescent="0.3">
      <c r="D77" s="393"/>
      <c r="P77" s="165"/>
    </row>
    <row r="78" spans="4:16" ht="14.25" customHeight="1" x14ac:dyDescent="0.3">
      <c r="D78" s="393"/>
      <c r="P78" s="165"/>
    </row>
    <row r="79" spans="4:16" ht="14.25" customHeight="1" x14ac:dyDescent="0.3">
      <c r="D79" s="393"/>
      <c r="P79" s="165"/>
    </row>
    <row r="80" spans="4:16" ht="14.25" customHeight="1" x14ac:dyDescent="0.3">
      <c r="D80" s="393"/>
      <c r="P80" s="165"/>
    </row>
    <row r="81" spans="4:16" ht="14.25" customHeight="1" x14ac:dyDescent="0.3">
      <c r="D81" s="393"/>
      <c r="P81" s="165"/>
    </row>
    <row r="82" spans="4:16" ht="14.25" customHeight="1" x14ac:dyDescent="0.3">
      <c r="D82" s="393"/>
      <c r="P82" s="165"/>
    </row>
    <row r="83" spans="4:16" ht="14.25" customHeight="1" x14ac:dyDescent="0.3">
      <c r="D83" s="393"/>
      <c r="P83" s="165"/>
    </row>
    <row r="84" spans="4:16" ht="14.25" customHeight="1" x14ac:dyDescent="0.3">
      <c r="D84" s="393"/>
      <c r="P84" s="165"/>
    </row>
    <row r="85" spans="4:16" ht="14.25" customHeight="1" x14ac:dyDescent="0.3">
      <c r="D85" s="393"/>
      <c r="P85" s="165"/>
    </row>
    <row r="86" spans="4:16" ht="14.25" customHeight="1" x14ac:dyDescent="0.3">
      <c r="D86" s="393"/>
      <c r="P86" s="165"/>
    </row>
    <row r="87" spans="4:16" ht="14.25" customHeight="1" x14ac:dyDescent="0.3">
      <c r="D87" s="393"/>
      <c r="P87" s="165"/>
    </row>
    <row r="88" spans="4:16" ht="14.25" customHeight="1" x14ac:dyDescent="0.3">
      <c r="D88" s="393"/>
      <c r="P88" s="165"/>
    </row>
    <row r="89" spans="4:16" ht="14.25" customHeight="1" x14ac:dyDescent="0.3">
      <c r="D89" s="393"/>
      <c r="P89" s="165"/>
    </row>
    <row r="90" spans="4:16" ht="14.25" customHeight="1" x14ac:dyDescent="0.3">
      <c r="D90" s="393"/>
      <c r="P90" s="165"/>
    </row>
    <row r="91" spans="4:16" ht="14.25" customHeight="1" x14ac:dyDescent="0.3">
      <c r="D91" s="393"/>
      <c r="P91" s="165"/>
    </row>
    <row r="92" spans="4:16" ht="14.25" customHeight="1" x14ac:dyDescent="0.3">
      <c r="D92" s="393"/>
      <c r="P92" s="165"/>
    </row>
    <row r="93" spans="4:16" ht="14.25" customHeight="1" x14ac:dyDescent="0.3">
      <c r="D93" s="393"/>
      <c r="P93" s="165"/>
    </row>
    <row r="94" spans="4:16" ht="14.25" customHeight="1" x14ac:dyDescent="0.3">
      <c r="D94" s="393"/>
      <c r="P94" s="165"/>
    </row>
    <row r="95" spans="4:16" ht="14.25" customHeight="1" x14ac:dyDescent="0.3">
      <c r="D95" s="393"/>
      <c r="P95" s="165"/>
    </row>
    <row r="96" spans="4:16" ht="14.25" customHeight="1" x14ac:dyDescent="0.3">
      <c r="D96" s="393"/>
      <c r="P96" s="165"/>
    </row>
    <row r="97" spans="4:16" ht="14.25" customHeight="1" x14ac:dyDescent="0.3">
      <c r="D97" s="393"/>
      <c r="P97" s="165"/>
    </row>
    <row r="98" spans="4:16" ht="14.25" customHeight="1" x14ac:dyDescent="0.3">
      <c r="D98" s="393"/>
      <c r="P98" s="165"/>
    </row>
    <row r="99" spans="4:16" ht="14.25" customHeight="1" x14ac:dyDescent="0.3">
      <c r="D99" s="393"/>
      <c r="P99" s="165"/>
    </row>
    <row r="100" spans="4:16" ht="14.25" customHeight="1" x14ac:dyDescent="0.3">
      <c r="D100" s="393"/>
      <c r="P100" s="165"/>
    </row>
    <row r="101" spans="4:16" ht="14.25" customHeight="1" x14ac:dyDescent="0.3">
      <c r="D101" s="393"/>
      <c r="P101" s="165"/>
    </row>
    <row r="102" spans="4:16" ht="14.25" customHeight="1" x14ac:dyDescent="0.3">
      <c r="D102" s="393"/>
      <c r="P102" s="165"/>
    </row>
    <row r="103" spans="4:16" ht="14.25" customHeight="1" x14ac:dyDescent="0.3">
      <c r="D103" s="393"/>
      <c r="P103" s="165"/>
    </row>
    <row r="104" spans="4:16" ht="14.25" customHeight="1" x14ac:dyDescent="0.3">
      <c r="D104" s="393"/>
      <c r="P104" s="165"/>
    </row>
    <row r="105" spans="4:16" ht="14.25" customHeight="1" x14ac:dyDescent="0.3">
      <c r="D105" s="393"/>
      <c r="P105" s="165"/>
    </row>
    <row r="106" spans="4:16" ht="14.25" customHeight="1" x14ac:dyDescent="0.3">
      <c r="D106" s="393"/>
      <c r="P106" s="165"/>
    </row>
    <row r="107" spans="4:16" ht="14.25" customHeight="1" x14ac:dyDescent="0.3">
      <c r="D107" s="393"/>
      <c r="P107" s="165"/>
    </row>
    <row r="108" spans="4:16" ht="14.25" customHeight="1" x14ac:dyDescent="0.3">
      <c r="D108" s="393"/>
      <c r="P108" s="165"/>
    </row>
    <row r="109" spans="4:16" ht="14.25" customHeight="1" x14ac:dyDescent="0.3">
      <c r="D109" s="393"/>
      <c r="P109" s="165"/>
    </row>
    <row r="110" spans="4:16" ht="14.25" customHeight="1" x14ac:dyDescent="0.3">
      <c r="D110" s="393"/>
      <c r="P110" s="165"/>
    </row>
    <row r="111" spans="4:16" ht="14.25" customHeight="1" x14ac:dyDescent="0.3">
      <c r="D111" s="393"/>
      <c r="P111" s="165"/>
    </row>
    <row r="112" spans="4:16" ht="14.25" customHeight="1" x14ac:dyDescent="0.3">
      <c r="D112" s="393"/>
      <c r="P112" s="165"/>
    </row>
    <row r="113" spans="4:16" ht="14.25" customHeight="1" x14ac:dyDescent="0.3">
      <c r="D113" s="393"/>
      <c r="P113" s="165"/>
    </row>
    <row r="114" spans="4:16" ht="14.25" customHeight="1" x14ac:dyDescent="0.3">
      <c r="D114" s="393"/>
      <c r="P114" s="165"/>
    </row>
    <row r="115" spans="4:16" ht="14.25" customHeight="1" x14ac:dyDescent="0.3">
      <c r="D115" s="393"/>
      <c r="P115" s="165"/>
    </row>
    <row r="116" spans="4:16" ht="14.25" customHeight="1" x14ac:dyDescent="0.3">
      <c r="D116" s="393"/>
      <c r="P116" s="165"/>
    </row>
    <row r="117" spans="4:16" ht="14.25" customHeight="1" x14ac:dyDescent="0.3">
      <c r="D117" s="393"/>
      <c r="P117" s="165"/>
    </row>
    <row r="118" spans="4:16" ht="14.25" customHeight="1" x14ac:dyDescent="0.3">
      <c r="D118" s="393"/>
      <c r="P118" s="165"/>
    </row>
    <row r="119" spans="4:16" ht="14.25" customHeight="1" x14ac:dyDescent="0.3">
      <c r="D119" s="393"/>
      <c r="P119" s="165"/>
    </row>
    <row r="120" spans="4:16" ht="14.25" customHeight="1" x14ac:dyDescent="0.3">
      <c r="D120" s="393"/>
      <c r="P120" s="165"/>
    </row>
    <row r="121" spans="4:16" ht="14.25" customHeight="1" x14ac:dyDescent="0.3">
      <c r="D121" s="393"/>
      <c r="P121" s="165"/>
    </row>
    <row r="122" spans="4:16" ht="14.25" customHeight="1" x14ac:dyDescent="0.3">
      <c r="D122" s="393"/>
      <c r="P122" s="165"/>
    </row>
    <row r="123" spans="4:16" ht="14.25" customHeight="1" x14ac:dyDescent="0.3">
      <c r="D123" s="393"/>
      <c r="P123" s="165"/>
    </row>
    <row r="124" spans="4:16" ht="14.25" customHeight="1" x14ac:dyDescent="0.3">
      <c r="D124" s="393"/>
      <c r="P124" s="165"/>
    </row>
    <row r="125" spans="4:16" ht="14.25" customHeight="1" x14ac:dyDescent="0.3">
      <c r="D125" s="393"/>
      <c r="P125" s="165"/>
    </row>
    <row r="126" spans="4:16" ht="14.25" customHeight="1" x14ac:dyDescent="0.3">
      <c r="D126" s="393"/>
      <c r="P126" s="165"/>
    </row>
    <row r="127" spans="4:16" ht="14.25" customHeight="1" x14ac:dyDescent="0.3">
      <c r="D127" s="393"/>
      <c r="P127" s="165"/>
    </row>
    <row r="128" spans="4:16" ht="14.25" customHeight="1" x14ac:dyDescent="0.3">
      <c r="D128" s="393"/>
      <c r="P128" s="165"/>
    </row>
    <row r="129" spans="4:16" ht="14.25" customHeight="1" x14ac:dyDescent="0.3">
      <c r="D129" s="393"/>
      <c r="P129" s="165"/>
    </row>
    <row r="130" spans="4:16" ht="14.25" customHeight="1" x14ac:dyDescent="0.3">
      <c r="D130" s="393"/>
      <c r="P130" s="165"/>
    </row>
    <row r="131" spans="4:16" ht="14.25" customHeight="1" x14ac:dyDescent="0.3">
      <c r="D131" s="393"/>
      <c r="P131" s="165"/>
    </row>
    <row r="132" spans="4:16" ht="14.25" customHeight="1" x14ac:dyDescent="0.3">
      <c r="D132" s="393"/>
      <c r="P132" s="165"/>
    </row>
    <row r="133" spans="4:16" ht="14.25" customHeight="1" x14ac:dyDescent="0.3">
      <c r="D133" s="393"/>
      <c r="P133" s="165"/>
    </row>
    <row r="134" spans="4:16" ht="14.25" customHeight="1" x14ac:dyDescent="0.3">
      <c r="D134" s="393"/>
      <c r="P134" s="165"/>
    </row>
    <row r="135" spans="4:16" ht="14.25" customHeight="1" x14ac:dyDescent="0.3">
      <c r="D135" s="393"/>
      <c r="P135" s="165"/>
    </row>
    <row r="136" spans="4:16" ht="14.25" customHeight="1" x14ac:dyDescent="0.3">
      <c r="D136" s="393"/>
      <c r="P136" s="165"/>
    </row>
    <row r="137" spans="4:16" ht="14.25" customHeight="1" x14ac:dyDescent="0.3">
      <c r="D137" s="393"/>
      <c r="P137" s="165"/>
    </row>
    <row r="138" spans="4:16" ht="14.25" customHeight="1" x14ac:dyDescent="0.3">
      <c r="D138" s="393"/>
      <c r="P138" s="165"/>
    </row>
    <row r="139" spans="4:16" ht="14.25" customHeight="1" x14ac:dyDescent="0.3">
      <c r="D139" s="393"/>
      <c r="P139" s="165"/>
    </row>
    <row r="140" spans="4:16" ht="14.25" customHeight="1" x14ac:dyDescent="0.3">
      <c r="D140" s="393"/>
      <c r="P140" s="165"/>
    </row>
    <row r="141" spans="4:16" ht="14.25" customHeight="1" x14ac:dyDescent="0.3">
      <c r="D141" s="393"/>
      <c r="P141" s="165"/>
    </row>
    <row r="142" spans="4:16" ht="14.25" customHeight="1" x14ac:dyDescent="0.3">
      <c r="D142" s="393"/>
      <c r="P142" s="165"/>
    </row>
    <row r="143" spans="4:16" ht="14.25" customHeight="1" x14ac:dyDescent="0.3">
      <c r="D143" s="393"/>
      <c r="P143" s="165"/>
    </row>
    <row r="144" spans="4:16" ht="14.25" customHeight="1" x14ac:dyDescent="0.3">
      <c r="D144" s="393"/>
      <c r="P144" s="165"/>
    </row>
    <row r="145" spans="4:16" ht="14.25" customHeight="1" x14ac:dyDescent="0.3">
      <c r="D145" s="393"/>
      <c r="P145" s="165"/>
    </row>
    <row r="146" spans="4:16" ht="14.25" customHeight="1" x14ac:dyDescent="0.3">
      <c r="D146" s="393"/>
      <c r="P146" s="165"/>
    </row>
    <row r="147" spans="4:16" ht="14.25" customHeight="1" x14ac:dyDescent="0.3">
      <c r="D147" s="393"/>
      <c r="P147" s="165"/>
    </row>
    <row r="148" spans="4:16" ht="14.25" customHeight="1" x14ac:dyDescent="0.3">
      <c r="D148" s="393"/>
      <c r="P148" s="165"/>
    </row>
    <row r="149" spans="4:16" ht="14.25" customHeight="1" x14ac:dyDescent="0.3">
      <c r="D149" s="393"/>
      <c r="P149" s="165"/>
    </row>
    <row r="150" spans="4:16" ht="14.25" customHeight="1" x14ac:dyDescent="0.3">
      <c r="D150" s="393"/>
      <c r="P150" s="165"/>
    </row>
    <row r="151" spans="4:16" ht="14.25" customHeight="1" x14ac:dyDescent="0.3">
      <c r="D151" s="393"/>
      <c r="P151" s="165"/>
    </row>
    <row r="152" spans="4:16" ht="14.25" customHeight="1" x14ac:dyDescent="0.3">
      <c r="D152" s="393"/>
      <c r="P152" s="165"/>
    </row>
    <row r="153" spans="4:16" ht="14.25" customHeight="1" x14ac:dyDescent="0.3">
      <c r="D153" s="393"/>
      <c r="P153" s="165"/>
    </row>
    <row r="154" spans="4:16" ht="14.25" customHeight="1" x14ac:dyDescent="0.3">
      <c r="D154" s="393"/>
      <c r="P154" s="165"/>
    </row>
    <row r="155" spans="4:16" ht="14.25" customHeight="1" x14ac:dyDescent="0.3">
      <c r="D155" s="393"/>
      <c r="P155" s="165"/>
    </row>
    <row r="156" spans="4:16" ht="14.25" customHeight="1" x14ac:dyDescent="0.3">
      <c r="D156" s="393"/>
      <c r="P156" s="165"/>
    </row>
    <row r="157" spans="4:16" ht="14.25" customHeight="1" x14ac:dyDescent="0.3">
      <c r="D157" s="393"/>
      <c r="P157" s="165"/>
    </row>
    <row r="158" spans="4:16" ht="14.25" customHeight="1" x14ac:dyDescent="0.3">
      <c r="D158" s="393"/>
      <c r="P158" s="165"/>
    </row>
    <row r="159" spans="4:16" ht="14.25" customHeight="1" x14ac:dyDescent="0.3">
      <c r="D159" s="393"/>
      <c r="P159" s="165"/>
    </row>
    <row r="160" spans="4:16" ht="14.25" customHeight="1" x14ac:dyDescent="0.3">
      <c r="D160" s="393"/>
      <c r="P160" s="165"/>
    </row>
    <row r="161" spans="4:16" ht="14.25" customHeight="1" x14ac:dyDescent="0.3">
      <c r="D161" s="393"/>
      <c r="P161" s="165"/>
    </row>
    <row r="162" spans="4:16" ht="14.25" customHeight="1" x14ac:dyDescent="0.3">
      <c r="D162" s="393"/>
      <c r="P162" s="165"/>
    </row>
    <row r="163" spans="4:16" ht="14.25" customHeight="1" x14ac:dyDescent="0.3">
      <c r="D163" s="393"/>
      <c r="P163" s="165"/>
    </row>
    <row r="164" spans="4:16" ht="14.25" customHeight="1" x14ac:dyDescent="0.3">
      <c r="D164" s="393"/>
      <c r="P164" s="165"/>
    </row>
    <row r="165" spans="4:16" ht="14.25" customHeight="1" x14ac:dyDescent="0.3">
      <c r="D165" s="393"/>
      <c r="P165" s="165"/>
    </row>
    <row r="166" spans="4:16" ht="14.25" customHeight="1" x14ac:dyDescent="0.3">
      <c r="D166" s="393"/>
      <c r="P166" s="165"/>
    </row>
    <row r="167" spans="4:16" ht="14.25" customHeight="1" x14ac:dyDescent="0.3">
      <c r="D167" s="393"/>
      <c r="P167" s="165"/>
    </row>
    <row r="168" spans="4:16" ht="14.25" customHeight="1" x14ac:dyDescent="0.3">
      <c r="D168" s="393"/>
      <c r="P168" s="165"/>
    </row>
    <row r="169" spans="4:16" ht="14.25" customHeight="1" x14ac:dyDescent="0.3">
      <c r="D169" s="393"/>
      <c r="P169" s="165"/>
    </row>
    <row r="170" spans="4:16" ht="14.25" customHeight="1" x14ac:dyDescent="0.3">
      <c r="D170" s="393"/>
      <c r="P170" s="165"/>
    </row>
    <row r="171" spans="4:16" ht="14.25" customHeight="1" x14ac:dyDescent="0.3">
      <c r="D171" s="393"/>
      <c r="P171" s="165"/>
    </row>
    <row r="172" spans="4:16" ht="14.25" customHeight="1" x14ac:dyDescent="0.3">
      <c r="D172" s="393"/>
      <c r="P172" s="165"/>
    </row>
    <row r="173" spans="4:16" ht="14.25" customHeight="1" x14ac:dyDescent="0.3">
      <c r="D173" s="393"/>
      <c r="P173" s="165"/>
    </row>
    <row r="174" spans="4:16" ht="14.25" customHeight="1" x14ac:dyDescent="0.3">
      <c r="D174" s="393"/>
      <c r="P174" s="165"/>
    </row>
    <row r="175" spans="4:16" ht="14.25" customHeight="1" x14ac:dyDescent="0.3">
      <c r="D175" s="393"/>
      <c r="P175" s="165"/>
    </row>
    <row r="176" spans="4:16" ht="14.25" customHeight="1" x14ac:dyDescent="0.3">
      <c r="D176" s="393"/>
      <c r="P176" s="165"/>
    </row>
    <row r="177" spans="4:16" ht="14.25" customHeight="1" x14ac:dyDescent="0.3">
      <c r="D177" s="393"/>
      <c r="P177" s="165"/>
    </row>
    <row r="178" spans="4:16" ht="14.25" customHeight="1" x14ac:dyDescent="0.3">
      <c r="D178" s="393"/>
      <c r="P178" s="165"/>
    </row>
    <row r="179" spans="4:16" ht="14.25" customHeight="1" x14ac:dyDescent="0.3">
      <c r="D179" s="393"/>
      <c r="P179" s="165"/>
    </row>
    <row r="180" spans="4:16" ht="14.25" customHeight="1" x14ac:dyDescent="0.3">
      <c r="D180" s="393"/>
      <c r="P180" s="165"/>
    </row>
    <row r="181" spans="4:16" ht="14.25" customHeight="1" x14ac:dyDescent="0.3">
      <c r="D181" s="393"/>
      <c r="P181" s="165"/>
    </row>
    <row r="182" spans="4:16" ht="14.25" customHeight="1" x14ac:dyDescent="0.3">
      <c r="D182" s="393"/>
      <c r="P182" s="165"/>
    </row>
    <row r="183" spans="4:16" ht="14.25" customHeight="1" x14ac:dyDescent="0.3">
      <c r="D183" s="393"/>
      <c r="P183" s="165"/>
    </row>
    <row r="184" spans="4:16" ht="14.25" customHeight="1" x14ac:dyDescent="0.3">
      <c r="D184" s="393"/>
      <c r="P184" s="165"/>
    </row>
    <row r="185" spans="4:16" ht="14.25" customHeight="1" x14ac:dyDescent="0.3">
      <c r="D185" s="393"/>
      <c r="P185" s="165"/>
    </row>
    <row r="186" spans="4:16" ht="14.25" customHeight="1" x14ac:dyDescent="0.3">
      <c r="D186" s="393"/>
      <c r="P186" s="165"/>
    </row>
    <row r="187" spans="4:16" ht="14.25" customHeight="1" x14ac:dyDescent="0.3">
      <c r="D187" s="393"/>
      <c r="P187" s="165"/>
    </row>
    <row r="188" spans="4:16" ht="14.25" customHeight="1" x14ac:dyDescent="0.3">
      <c r="D188" s="393"/>
      <c r="P188" s="165"/>
    </row>
    <row r="189" spans="4:16" ht="14.25" customHeight="1" x14ac:dyDescent="0.3">
      <c r="D189" s="393"/>
      <c r="P189" s="165"/>
    </row>
    <row r="190" spans="4:16" ht="14.25" customHeight="1" x14ac:dyDescent="0.3">
      <c r="D190" s="393"/>
      <c r="P190" s="165"/>
    </row>
    <row r="191" spans="4:16" ht="14.25" customHeight="1" x14ac:dyDescent="0.3">
      <c r="D191" s="393"/>
      <c r="P191" s="165"/>
    </row>
    <row r="192" spans="4:16" ht="14.25" customHeight="1" x14ac:dyDescent="0.3">
      <c r="D192" s="393"/>
      <c r="P192" s="165"/>
    </row>
    <row r="193" spans="4:16" ht="14.25" customHeight="1" x14ac:dyDescent="0.3">
      <c r="D193" s="393"/>
      <c r="P193" s="165"/>
    </row>
    <row r="194" spans="4:16" ht="14.25" customHeight="1" x14ac:dyDescent="0.3">
      <c r="D194" s="393"/>
      <c r="P194" s="165"/>
    </row>
    <row r="195" spans="4:16" ht="14.25" customHeight="1" x14ac:dyDescent="0.3">
      <c r="D195" s="393"/>
      <c r="P195" s="165"/>
    </row>
    <row r="196" spans="4:16" ht="14.25" customHeight="1" x14ac:dyDescent="0.3">
      <c r="D196" s="393"/>
      <c r="P196" s="165"/>
    </row>
    <row r="197" spans="4:16" ht="14.25" customHeight="1" x14ac:dyDescent="0.3">
      <c r="D197" s="393"/>
      <c r="P197" s="165"/>
    </row>
    <row r="198" spans="4:16" ht="14.25" customHeight="1" x14ac:dyDescent="0.3">
      <c r="D198" s="393"/>
      <c r="P198" s="165"/>
    </row>
    <row r="199" spans="4:16" ht="14.25" customHeight="1" x14ac:dyDescent="0.3">
      <c r="D199" s="393"/>
      <c r="P199" s="165"/>
    </row>
    <row r="200" spans="4:16" ht="14.25" customHeight="1" x14ac:dyDescent="0.3">
      <c r="D200" s="393"/>
      <c r="P200" s="165"/>
    </row>
    <row r="201" spans="4:16" ht="14.25" customHeight="1" x14ac:dyDescent="0.3">
      <c r="D201" s="393"/>
      <c r="P201" s="165"/>
    </row>
    <row r="202" spans="4:16" ht="14.25" customHeight="1" x14ac:dyDescent="0.3">
      <c r="D202" s="393"/>
      <c r="P202" s="165"/>
    </row>
    <row r="203" spans="4:16" ht="14.25" customHeight="1" x14ac:dyDescent="0.3">
      <c r="D203" s="393"/>
      <c r="P203" s="165"/>
    </row>
    <row r="204" spans="4:16" ht="14.25" customHeight="1" x14ac:dyDescent="0.3">
      <c r="D204" s="393"/>
      <c r="P204" s="165"/>
    </row>
    <row r="205" spans="4:16" ht="14.25" customHeight="1" x14ac:dyDescent="0.3">
      <c r="D205" s="393"/>
      <c r="P205" s="165"/>
    </row>
    <row r="206" spans="4:16" ht="14.25" customHeight="1" x14ac:dyDescent="0.3">
      <c r="D206" s="393"/>
      <c r="P206" s="165"/>
    </row>
    <row r="207" spans="4:16" ht="14.25" customHeight="1" x14ac:dyDescent="0.3">
      <c r="D207" s="393"/>
      <c r="P207" s="165"/>
    </row>
    <row r="208" spans="4:16" ht="14.25" customHeight="1" x14ac:dyDescent="0.3">
      <c r="D208" s="393"/>
      <c r="P208" s="165"/>
    </row>
    <row r="209" spans="4:16" ht="14.25" customHeight="1" x14ac:dyDescent="0.3">
      <c r="D209" s="393"/>
      <c r="P209" s="165"/>
    </row>
    <row r="210" spans="4:16" ht="14.25" customHeight="1" x14ac:dyDescent="0.3">
      <c r="D210" s="393"/>
      <c r="P210" s="165"/>
    </row>
    <row r="211" spans="4:16" ht="14.25" customHeight="1" x14ac:dyDescent="0.3">
      <c r="D211" s="393"/>
      <c r="P211" s="165"/>
    </row>
    <row r="212" spans="4:16" ht="14.25" customHeight="1" x14ac:dyDescent="0.3">
      <c r="D212" s="393"/>
      <c r="P212" s="165"/>
    </row>
    <row r="213" spans="4:16" ht="14.25" customHeight="1" x14ac:dyDescent="0.3">
      <c r="D213" s="393"/>
      <c r="P213" s="165"/>
    </row>
    <row r="214" spans="4:16" ht="14.25" customHeight="1" x14ac:dyDescent="0.3">
      <c r="D214" s="393"/>
      <c r="P214" s="165"/>
    </row>
    <row r="215" spans="4:16" ht="14.25" customHeight="1" x14ac:dyDescent="0.3">
      <c r="D215" s="393"/>
      <c r="P215" s="165"/>
    </row>
    <row r="216" spans="4:16" ht="14.25" customHeight="1" x14ac:dyDescent="0.3">
      <c r="D216" s="393"/>
      <c r="P216" s="165"/>
    </row>
    <row r="217" spans="4:16" ht="14.25" customHeight="1" x14ac:dyDescent="0.3">
      <c r="D217" s="393"/>
      <c r="P217" s="165"/>
    </row>
    <row r="218" spans="4:16" ht="14.25" customHeight="1" x14ac:dyDescent="0.3">
      <c r="D218" s="393"/>
      <c r="P218" s="165"/>
    </row>
    <row r="219" spans="4:16" ht="14.25" customHeight="1" x14ac:dyDescent="0.3">
      <c r="D219" s="393"/>
      <c r="P219" s="165"/>
    </row>
    <row r="220" spans="4:16" ht="14.25" customHeight="1" x14ac:dyDescent="0.3">
      <c r="D220" s="393"/>
      <c r="P220" s="165"/>
    </row>
    <row r="221" spans="4:16" ht="14.25" customHeight="1" x14ac:dyDescent="0.3">
      <c r="D221" s="393"/>
      <c r="P221" s="165"/>
    </row>
    <row r="222" spans="4:16" ht="14.25" customHeight="1" x14ac:dyDescent="0.3">
      <c r="D222" s="393"/>
      <c r="P222" s="165"/>
    </row>
    <row r="223" spans="4:16" ht="14.25" customHeight="1" x14ac:dyDescent="0.3">
      <c r="D223" s="393"/>
      <c r="P223" s="165"/>
    </row>
    <row r="224" spans="4:16" ht="14.25" customHeight="1" x14ac:dyDescent="0.3">
      <c r="D224" s="393"/>
      <c r="P224" s="165"/>
    </row>
    <row r="225" spans="4:16" ht="14.25" customHeight="1" x14ac:dyDescent="0.3">
      <c r="D225" s="393"/>
      <c r="P225" s="165"/>
    </row>
    <row r="226" spans="4:16" ht="14.25" customHeight="1" x14ac:dyDescent="0.3">
      <c r="D226" s="393"/>
      <c r="P226" s="165"/>
    </row>
    <row r="227" spans="4:16" ht="14.25" customHeight="1" x14ac:dyDescent="0.3">
      <c r="D227" s="393"/>
      <c r="P227" s="165"/>
    </row>
    <row r="228" spans="4:16" ht="14.25" customHeight="1" x14ac:dyDescent="0.3">
      <c r="D228" s="393"/>
      <c r="P228" s="165"/>
    </row>
    <row r="229" spans="4:16" ht="14.25" customHeight="1" x14ac:dyDescent="0.3">
      <c r="D229" s="393"/>
      <c r="P229" s="165"/>
    </row>
    <row r="230" spans="4:16" ht="14.25" customHeight="1" x14ac:dyDescent="0.3">
      <c r="D230" s="393"/>
      <c r="P230" s="165"/>
    </row>
    <row r="231" spans="4:16" ht="14.25" customHeight="1" x14ac:dyDescent="0.3">
      <c r="D231" s="393"/>
      <c r="P231" s="165"/>
    </row>
    <row r="232" spans="4:16" ht="14.25" customHeight="1" x14ac:dyDescent="0.3">
      <c r="D232" s="393"/>
      <c r="P232" s="165"/>
    </row>
    <row r="233" spans="4:16" ht="14.25" customHeight="1" x14ac:dyDescent="0.3">
      <c r="D233" s="393"/>
      <c r="P233" s="165"/>
    </row>
    <row r="234" spans="4:16" ht="14.25" customHeight="1" x14ac:dyDescent="0.3">
      <c r="D234" s="393"/>
      <c r="P234" s="165"/>
    </row>
    <row r="235" spans="4:16" ht="14.25" customHeight="1" x14ac:dyDescent="0.3">
      <c r="D235" s="393"/>
      <c r="P235" s="165"/>
    </row>
    <row r="236" spans="4:16" ht="14.25" customHeight="1" x14ac:dyDescent="0.3">
      <c r="D236" s="393"/>
      <c r="P236" s="165"/>
    </row>
    <row r="237" spans="4:16" ht="14.25" customHeight="1" x14ac:dyDescent="0.3">
      <c r="D237" s="393"/>
      <c r="P237" s="165"/>
    </row>
    <row r="238" spans="4:16" ht="14.25" customHeight="1" x14ac:dyDescent="0.3">
      <c r="D238" s="393"/>
      <c r="P238" s="165"/>
    </row>
    <row r="239" spans="4:16" ht="14.25" customHeight="1" x14ac:dyDescent="0.3">
      <c r="D239" s="393"/>
      <c r="P239" s="165"/>
    </row>
    <row r="240" spans="4:16" ht="14.25" customHeight="1" x14ac:dyDescent="0.3">
      <c r="D240" s="393"/>
      <c r="P240" s="165"/>
    </row>
    <row r="241" spans="4:16" ht="14.25" customHeight="1" x14ac:dyDescent="0.3">
      <c r="D241" s="393"/>
      <c r="P241" s="165"/>
    </row>
    <row r="242" spans="4:16" ht="14.25" customHeight="1" x14ac:dyDescent="0.3">
      <c r="D242" s="393"/>
      <c r="P242" s="165"/>
    </row>
    <row r="243" spans="4:16" ht="14.25" customHeight="1" x14ac:dyDescent="0.3">
      <c r="D243" s="393"/>
      <c r="P243" s="165"/>
    </row>
    <row r="244" spans="4:16" ht="14.25" customHeight="1" x14ac:dyDescent="0.3">
      <c r="D244" s="393"/>
      <c r="P244" s="165"/>
    </row>
    <row r="245" spans="4:16" ht="14.25" customHeight="1" x14ac:dyDescent="0.3">
      <c r="D245" s="393"/>
      <c r="P245" s="165"/>
    </row>
    <row r="246" spans="4:16" ht="14.25" customHeight="1" x14ac:dyDescent="0.3">
      <c r="D246" s="393"/>
      <c r="P246" s="165"/>
    </row>
    <row r="247" spans="4:16" ht="14.25" customHeight="1" x14ac:dyDescent="0.3">
      <c r="D247" s="393"/>
      <c r="P247" s="165"/>
    </row>
    <row r="248" spans="4:16" ht="14.25" customHeight="1" x14ac:dyDescent="0.3">
      <c r="D248" s="393"/>
      <c r="P248" s="165"/>
    </row>
    <row r="249" spans="4:16" ht="14.25" customHeight="1" x14ac:dyDescent="0.3">
      <c r="D249" s="393"/>
      <c r="P249" s="165"/>
    </row>
    <row r="250" spans="4:16" ht="14.25" customHeight="1" x14ac:dyDescent="0.3">
      <c r="D250" s="393"/>
      <c r="P250" s="165"/>
    </row>
    <row r="251" spans="4:16" ht="14.25" customHeight="1" x14ac:dyDescent="0.3">
      <c r="D251" s="393"/>
      <c r="P251" s="165"/>
    </row>
    <row r="252" spans="4:16" ht="14.25" customHeight="1" x14ac:dyDescent="0.3">
      <c r="D252" s="393"/>
      <c r="P252" s="165"/>
    </row>
    <row r="253" spans="4:16" ht="14.25" customHeight="1" x14ac:dyDescent="0.3">
      <c r="D253" s="393"/>
      <c r="P253" s="165"/>
    </row>
    <row r="254" spans="4:16" ht="14.25" customHeight="1" x14ac:dyDescent="0.3">
      <c r="D254" s="393"/>
      <c r="P254" s="165"/>
    </row>
    <row r="255" spans="4:16" ht="14.25" customHeight="1" x14ac:dyDescent="0.3">
      <c r="D255" s="393"/>
      <c r="P255" s="165"/>
    </row>
    <row r="256" spans="4:16" ht="14.25" customHeight="1" x14ac:dyDescent="0.3">
      <c r="D256" s="393"/>
      <c r="P256" s="165"/>
    </row>
    <row r="257" spans="4:16" ht="14.25" customHeight="1" x14ac:dyDescent="0.3">
      <c r="D257" s="393"/>
      <c r="P257" s="165"/>
    </row>
    <row r="258" spans="4:16" ht="14.25" customHeight="1" x14ac:dyDescent="0.3">
      <c r="D258" s="393"/>
      <c r="P258" s="165"/>
    </row>
    <row r="259" spans="4:16" ht="14.25" customHeight="1" x14ac:dyDescent="0.3">
      <c r="D259" s="393"/>
      <c r="P259" s="165"/>
    </row>
    <row r="260" spans="4:16" ht="14.25" customHeight="1" x14ac:dyDescent="0.3">
      <c r="D260" s="393"/>
      <c r="P260" s="165"/>
    </row>
    <row r="261" spans="4:16" ht="14.25" customHeight="1" x14ac:dyDescent="0.3">
      <c r="D261" s="393"/>
      <c r="P261" s="165"/>
    </row>
    <row r="262" spans="4:16" ht="14.25" customHeight="1" x14ac:dyDescent="0.3">
      <c r="D262" s="393"/>
      <c r="P262" s="165"/>
    </row>
    <row r="263" spans="4:16" ht="14.25" customHeight="1" x14ac:dyDescent="0.3">
      <c r="D263" s="393"/>
      <c r="P263" s="165"/>
    </row>
    <row r="264" spans="4:16" ht="14.25" customHeight="1" x14ac:dyDescent="0.3">
      <c r="D264" s="393"/>
      <c r="P264" s="165"/>
    </row>
    <row r="265" spans="4:16" ht="14.25" customHeight="1" x14ac:dyDescent="0.3">
      <c r="D265" s="393"/>
      <c r="P265" s="165"/>
    </row>
    <row r="266" spans="4:16" ht="14.25" customHeight="1" x14ac:dyDescent="0.3">
      <c r="D266" s="393"/>
      <c r="P266" s="165"/>
    </row>
    <row r="267" spans="4:16" ht="14.25" customHeight="1" x14ac:dyDescent="0.3">
      <c r="D267" s="393"/>
      <c r="P267" s="165"/>
    </row>
    <row r="268" spans="4:16" ht="14.25" customHeight="1" x14ac:dyDescent="0.3">
      <c r="D268" s="393"/>
      <c r="P268" s="165"/>
    </row>
    <row r="269" spans="4:16" ht="14.25" customHeight="1" x14ac:dyDescent="0.3">
      <c r="D269" s="393"/>
      <c r="P269" s="165"/>
    </row>
    <row r="270" spans="4:16" ht="14.25" customHeight="1" x14ac:dyDescent="0.3">
      <c r="D270" s="393"/>
      <c r="P270" s="165"/>
    </row>
    <row r="271" spans="4:16" ht="14.25" customHeight="1" x14ac:dyDescent="0.3">
      <c r="D271" s="393"/>
      <c r="P271" s="165"/>
    </row>
    <row r="272" spans="4:16" ht="14.25" customHeight="1" x14ac:dyDescent="0.3">
      <c r="D272" s="393"/>
      <c r="P272" s="165"/>
    </row>
    <row r="273" spans="4:16" ht="14.25" customHeight="1" x14ac:dyDescent="0.3">
      <c r="D273" s="393"/>
      <c r="P273" s="165"/>
    </row>
    <row r="274" spans="4:16" ht="14.25" customHeight="1" x14ac:dyDescent="0.3">
      <c r="D274" s="393"/>
      <c r="P274" s="165"/>
    </row>
    <row r="275" spans="4:16" ht="14.25" customHeight="1" x14ac:dyDescent="0.3">
      <c r="D275" s="393"/>
      <c r="P275" s="165"/>
    </row>
    <row r="276" spans="4:16" ht="14.25" customHeight="1" x14ac:dyDescent="0.3">
      <c r="D276" s="393"/>
      <c r="P276" s="165"/>
    </row>
    <row r="277" spans="4:16" ht="14.25" customHeight="1" x14ac:dyDescent="0.3">
      <c r="D277" s="393"/>
      <c r="P277" s="165"/>
    </row>
    <row r="278" spans="4:16" ht="14.25" customHeight="1" x14ac:dyDescent="0.3">
      <c r="D278" s="393"/>
      <c r="P278" s="165"/>
    </row>
    <row r="279" spans="4:16" ht="14.25" customHeight="1" x14ac:dyDescent="0.3">
      <c r="D279" s="393"/>
      <c r="P279" s="165"/>
    </row>
    <row r="280" spans="4:16" ht="14.25" customHeight="1" x14ac:dyDescent="0.3">
      <c r="D280" s="393"/>
      <c r="P280" s="165"/>
    </row>
    <row r="281" spans="4:16" ht="14.25" customHeight="1" x14ac:dyDescent="0.3">
      <c r="D281" s="393"/>
      <c r="P281" s="165"/>
    </row>
    <row r="282" spans="4:16" ht="14.25" customHeight="1" x14ac:dyDescent="0.3">
      <c r="D282" s="393"/>
      <c r="P282" s="165"/>
    </row>
    <row r="283" spans="4:16" ht="14.25" customHeight="1" x14ac:dyDescent="0.3">
      <c r="D283" s="393"/>
      <c r="P283" s="165"/>
    </row>
    <row r="284" spans="4:16" ht="14.25" customHeight="1" x14ac:dyDescent="0.3">
      <c r="D284" s="393"/>
      <c r="P284" s="165"/>
    </row>
    <row r="285" spans="4:16" ht="14.25" customHeight="1" x14ac:dyDescent="0.3">
      <c r="D285" s="393"/>
      <c r="P285" s="165"/>
    </row>
    <row r="286" spans="4:16" ht="14.25" customHeight="1" x14ac:dyDescent="0.3">
      <c r="D286" s="393"/>
      <c r="P286" s="165"/>
    </row>
    <row r="287" spans="4:16" ht="14.25" customHeight="1" x14ac:dyDescent="0.3">
      <c r="D287" s="393"/>
      <c r="P287" s="165"/>
    </row>
    <row r="288" spans="4:16" ht="14.25" customHeight="1" x14ac:dyDescent="0.3">
      <c r="D288" s="393"/>
      <c r="P288" s="165"/>
    </row>
    <row r="289" spans="4:16" ht="14.25" customHeight="1" x14ac:dyDescent="0.3">
      <c r="D289" s="393"/>
      <c r="P289" s="165"/>
    </row>
    <row r="290" spans="4:16" ht="14.25" customHeight="1" x14ac:dyDescent="0.3">
      <c r="D290" s="393"/>
      <c r="P290" s="165"/>
    </row>
    <row r="291" spans="4:16" ht="14.25" customHeight="1" x14ac:dyDescent="0.3">
      <c r="D291" s="393"/>
      <c r="P291" s="165"/>
    </row>
    <row r="292" spans="4:16" ht="14.25" customHeight="1" x14ac:dyDescent="0.3">
      <c r="D292" s="393"/>
      <c r="P292" s="165"/>
    </row>
    <row r="293" spans="4:16" ht="14.25" customHeight="1" x14ac:dyDescent="0.3">
      <c r="D293" s="393"/>
      <c r="P293" s="165"/>
    </row>
    <row r="294" spans="4:16" ht="14.25" customHeight="1" x14ac:dyDescent="0.3">
      <c r="D294" s="393"/>
      <c r="P294" s="165"/>
    </row>
    <row r="295" spans="4:16" ht="14.25" customHeight="1" x14ac:dyDescent="0.3">
      <c r="D295" s="393"/>
      <c r="P295" s="165"/>
    </row>
    <row r="296" spans="4:16" ht="14.25" customHeight="1" x14ac:dyDescent="0.3">
      <c r="D296" s="393"/>
      <c r="P296" s="165"/>
    </row>
    <row r="297" spans="4:16" ht="14.25" customHeight="1" x14ac:dyDescent="0.3">
      <c r="D297" s="393"/>
      <c r="P297" s="165"/>
    </row>
    <row r="298" spans="4:16" ht="14.25" customHeight="1" x14ac:dyDescent="0.3">
      <c r="D298" s="393"/>
      <c r="P298" s="165"/>
    </row>
    <row r="299" spans="4:16" ht="14.25" customHeight="1" x14ac:dyDescent="0.3">
      <c r="D299" s="393"/>
      <c r="P299" s="165"/>
    </row>
    <row r="300" spans="4:16" ht="14.25" customHeight="1" x14ac:dyDescent="0.3">
      <c r="D300" s="393"/>
      <c r="P300" s="165"/>
    </row>
    <row r="301" spans="4:16" ht="14.25" customHeight="1" x14ac:dyDescent="0.3">
      <c r="D301" s="393"/>
      <c r="P301" s="165"/>
    </row>
    <row r="302" spans="4:16" ht="14.25" customHeight="1" x14ac:dyDescent="0.3">
      <c r="D302" s="393"/>
      <c r="P302" s="165"/>
    </row>
    <row r="303" spans="4:16" ht="14.25" customHeight="1" x14ac:dyDescent="0.3">
      <c r="D303" s="393"/>
      <c r="P303" s="165"/>
    </row>
    <row r="304" spans="4:16" ht="14.25" customHeight="1" x14ac:dyDescent="0.3">
      <c r="D304" s="393"/>
      <c r="P304" s="165"/>
    </row>
    <row r="305" spans="4:16" ht="14.25" customHeight="1" x14ac:dyDescent="0.3">
      <c r="D305" s="393"/>
      <c r="P305" s="165"/>
    </row>
    <row r="306" spans="4:16" ht="14.25" customHeight="1" x14ac:dyDescent="0.3">
      <c r="D306" s="393"/>
      <c r="P306" s="165"/>
    </row>
    <row r="307" spans="4:16" ht="14.25" customHeight="1" x14ac:dyDescent="0.3">
      <c r="D307" s="393"/>
      <c r="P307" s="165"/>
    </row>
    <row r="308" spans="4:16" ht="14.25" customHeight="1" x14ac:dyDescent="0.3">
      <c r="D308" s="393"/>
      <c r="P308" s="165"/>
    </row>
    <row r="309" spans="4:16" ht="14.25" customHeight="1" x14ac:dyDescent="0.3">
      <c r="D309" s="393"/>
      <c r="P309" s="165"/>
    </row>
    <row r="310" spans="4:16" ht="14.25" customHeight="1" x14ac:dyDescent="0.3">
      <c r="D310" s="393"/>
      <c r="P310" s="165"/>
    </row>
    <row r="311" spans="4:16" ht="14.25" customHeight="1" x14ac:dyDescent="0.3">
      <c r="D311" s="393"/>
      <c r="P311" s="165"/>
    </row>
    <row r="312" spans="4:16" ht="14.25" customHeight="1" x14ac:dyDescent="0.3">
      <c r="D312" s="393"/>
      <c r="P312" s="165"/>
    </row>
    <row r="313" spans="4:16" ht="14.25" customHeight="1" x14ac:dyDescent="0.3">
      <c r="D313" s="393"/>
      <c r="P313" s="165"/>
    </row>
    <row r="314" spans="4:16" ht="14.25" customHeight="1" x14ac:dyDescent="0.3">
      <c r="D314" s="393"/>
      <c r="P314" s="165"/>
    </row>
    <row r="315" spans="4:16" ht="14.25" customHeight="1" x14ac:dyDescent="0.3">
      <c r="D315" s="393"/>
      <c r="P315" s="165"/>
    </row>
    <row r="316" spans="4:16" ht="14.25" customHeight="1" x14ac:dyDescent="0.3">
      <c r="D316" s="393"/>
      <c r="P316" s="165"/>
    </row>
    <row r="317" spans="4:16" ht="14.25" customHeight="1" x14ac:dyDescent="0.3">
      <c r="D317" s="393"/>
      <c r="P317" s="165"/>
    </row>
    <row r="318" spans="4:16" ht="14.25" customHeight="1" x14ac:dyDescent="0.3">
      <c r="D318" s="393"/>
      <c r="P318" s="165"/>
    </row>
    <row r="319" spans="4:16" ht="14.25" customHeight="1" x14ac:dyDescent="0.3">
      <c r="D319" s="393"/>
      <c r="P319" s="165"/>
    </row>
    <row r="320" spans="4:16" ht="14.25" customHeight="1" x14ac:dyDescent="0.3">
      <c r="D320" s="393"/>
      <c r="P320" s="165"/>
    </row>
    <row r="321" spans="4:16" ht="14.25" customHeight="1" x14ac:dyDescent="0.3">
      <c r="D321" s="393"/>
      <c r="P321" s="165"/>
    </row>
    <row r="322" spans="4:16" ht="14.25" customHeight="1" x14ac:dyDescent="0.3">
      <c r="D322" s="393"/>
      <c r="P322" s="165"/>
    </row>
    <row r="323" spans="4:16" ht="14.25" customHeight="1" x14ac:dyDescent="0.3">
      <c r="D323" s="393"/>
      <c r="P323" s="165"/>
    </row>
    <row r="324" spans="4:16" ht="14.25" customHeight="1" x14ac:dyDescent="0.3">
      <c r="D324" s="393"/>
      <c r="P324" s="165"/>
    </row>
    <row r="325" spans="4:16" ht="14.25" customHeight="1" x14ac:dyDescent="0.3">
      <c r="D325" s="393"/>
      <c r="P325" s="165"/>
    </row>
    <row r="326" spans="4:16" ht="14.25" customHeight="1" x14ac:dyDescent="0.3">
      <c r="D326" s="393"/>
      <c r="P326" s="165"/>
    </row>
    <row r="327" spans="4:16" ht="14.25" customHeight="1" x14ac:dyDescent="0.3">
      <c r="D327" s="393"/>
      <c r="P327" s="165"/>
    </row>
    <row r="328" spans="4:16" ht="14.25" customHeight="1" x14ac:dyDescent="0.3">
      <c r="D328" s="393"/>
      <c r="P328" s="165"/>
    </row>
    <row r="329" spans="4:16" ht="14.25" customHeight="1" x14ac:dyDescent="0.3">
      <c r="D329" s="393"/>
      <c r="P329" s="165"/>
    </row>
    <row r="330" spans="4:16" ht="14.25" customHeight="1" x14ac:dyDescent="0.3">
      <c r="D330" s="393"/>
      <c r="P330" s="165"/>
    </row>
    <row r="331" spans="4:16" ht="14.25" customHeight="1" x14ac:dyDescent="0.3">
      <c r="D331" s="393"/>
      <c r="P331" s="165"/>
    </row>
    <row r="332" spans="4:16" ht="14.25" customHeight="1" x14ac:dyDescent="0.3">
      <c r="D332" s="393"/>
      <c r="P332" s="165"/>
    </row>
    <row r="333" spans="4:16" ht="14.25" customHeight="1" x14ac:dyDescent="0.3">
      <c r="D333" s="393"/>
      <c r="P333" s="165"/>
    </row>
    <row r="334" spans="4:16" ht="14.25" customHeight="1" x14ac:dyDescent="0.3">
      <c r="D334" s="393"/>
      <c r="P334" s="165"/>
    </row>
    <row r="335" spans="4:16" ht="14.25" customHeight="1" x14ac:dyDescent="0.3">
      <c r="D335" s="393"/>
      <c r="P335" s="165"/>
    </row>
    <row r="336" spans="4:16" ht="14.25" customHeight="1" x14ac:dyDescent="0.3">
      <c r="D336" s="393"/>
      <c r="P336" s="165"/>
    </row>
    <row r="337" spans="4:16" ht="14.25" customHeight="1" x14ac:dyDescent="0.3">
      <c r="D337" s="393"/>
      <c r="P337" s="165"/>
    </row>
    <row r="338" spans="4:16" ht="14.25" customHeight="1" x14ac:dyDescent="0.3">
      <c r="D338" s="393"/>
      <c r="P338" s="165"/>
    </row>
    <row r="339" spans="4:16" ht="14.25" customHeight="1" x14ac:dyDescent="0.3">
      <c r="D339" s="393"/>
      <c r="P339" s="165"/>
    </row>
    <row r="340" spans="4:16" ht="14.25" customHeight="1" x14ac:dyDescent="0.3">
      <c r="D340" s="393"/>
      <c r="P340" s="165"/>
    </row>
    <row r="341" spans="4:16" ht="14.25" customHeight="1" x14ac:dyDescent="0.3">
      <c r="D341" s="393"/>
      <c r="P341" s="165"/>
    </row>
    <row r="342" spans="4:16" ht="14.25" customHeight="1" x14ac:dyDescent="0.3">
      <c r="D342" s="393"/>
      <c r="P342" s="165"/>
    </row>
    <row r="343" spans="4:16" ht="14.25" customHeight="1" x14ac:dyDescent="0.3">
      <c r="D343" s="393"/>
      <c r="P343" s="165"/>
    </row>
    <row r="344" spans="4:16" ht="14.25" customHeight="1" x14ac:dyDescent="0.3">
      <c r="D344" s="393"/>
      <c r="P344" s="165"/>
    </row>
    <row r="345" spans="4:16" ht="14.25" customHeight="1" x14ac:dyDescent="0.3">
      <c r="D345" s="393"/>
      <c r="P345" s="165"/>
    </row>
    <row r="346" spans="4:16" ht="14.25" customHeight="1" x14ac:dyDescent="0.3">
      <c r="D346" s="393"/>
      <c r="P346" s="165"/>
    </row>
    <row r="347" spans="4:16" ht="14.25" customHeight="1" x14ac:dyDescent="0.3">
      <c r="D347" s="393"/>
      <c r="P347" s="165"/>
    </row>
    <row r="348" spans="4:16" ht="14.25" customHeight="1" x14ac:dyDescent="0.3">
      <c r="D348" s="393"/>
      <c r="P348" s="165"/>
    </row>
    <row r="349" spans="4:16" ht="14.25" customHeight="1" x14ac:dyDescent="0.3">
      <c r="D349" s="393"/>
      <c r="P349" s="165"/>
    </row>
    <row r="350" spans="4:16" ht="14.25" customHeight="1" x14ac:dyDescent="0.3">
      <c r="D350" s="393"/>
      <c r="P350" s="165"/>
    </row>
    <row r="351" spans="4:16" ht="14.25" customHeight="1" x14ac:dyDescent="0.3">
      <c r="D351" s="393"/>
      <c r="P351" s="165"/>
    </row>
    <row r="352" spans="4:16" ht="14.25" customHeight="1" x14ac:dyDescent="0.3">
      <c r="D352" s="393"/>
      <c r="P352" s="165"/>
    </row>
    <row r="353" spans="4:16" ht="14.25" customHeight="1" x14ac:dyDescent="0.3">
      <c r="D353" s="393"/>
      <c r="P353" s="165"/>
    </row>
    <row r="354" spans="4:16" ht="14.25" customHeight="1" x14ac:dyDescent="0.3">
      <c r="D354" s="393"/>
      <c r="P354" s="165"/>
    </row>
    <row r="355" spans="4:16" ht="14.25" customHeight="1" x14ac:dyDescent="0.3">
      <c r="D355" s="393"/>
      <c r="P355" s="165"/>
    </row>
    <row r="356" spans="4:16" ht="14.25" customHeight="1" x14ac:dyDescent="0.3">
      <c r="D356" s="393"/>
      <c r="P356" s="165"/>
    </row>
    <row r="357" spans="4:16" ht="14.25" customHeight="1" x14ac:dyDescent="0.3">
      <c r="D357" s="393"/>
      <c r="P357" s="165"/>
    </row>
    <row r="358" spans="4:16" ht="14.25" customHeight="1" x14ac:dyDescent="0.3">
      <c r="D358" s="393"/>
      <c r="P358" s="165"/>
    </row>
    <row r="359" spans="4:16" ht="14.25" customHeight="1" x14ac:dyDescent="0.3">
      <c r="D359" s="393"/>
      <c r="P359" s="165"/>
    </row>
    <row r="360" spans="4:16" ht="14.25" customHeight="1" x14ac:dyDescent="0.3">
      <c r="D360" s="393"/>
      <c r="P360" s="165"/>
    </row>
    <row r="361" spans="4:16" ht="14.25" customHeight="1" x14ac:dyDescent="0.3">
      <c r="D361" s="393"/>
      <c r="P361" s="165"/>
    </row>
    <row r="362" spans="4:16" ht="14.25" customHeight="1" x14ac:dyDescent="0.3">
      <c r="D362" s="393"/>
      <c r="P362" s="165"/>
    </row>
    <row r="363" spans="4:16" ht="14.25" customHeight="1" x14ac:dyDescent="0.3">
      <c r="D363" s="393"/>
      <c r="P363" s="165"/>
    </row>
    <row r="364" spans="4:16" ht="14.25" customHeight="1" x14ac:dyDescent="0.3">
      <c r="D364" s="393"/>
      <c r="P364" s="165"/>
    </row>
    <row r="365" spans="4:16" ht="14.25" customHeight="1" x14ac:dyDescent="0.3">
      <c r="D365" s="393"/>
      <c r="P365" s="165"/>
    </row>
    <row r="366" spans="4:16" ht="14.25" customHeight="1" x14ac:dyDescent="0.3">
      <c r="D366" s="393"/>
      <c r="P366" s="165"/>
    </row>
    <row r="367" spans="4:16" ht="14.25" customHeight="1" x14ac:dyDescent="0.3">
      <c r="D367" s="393"/>
      <c r="P367" s="165"/>
    </row>
    <row r="368" spans="4:16" ht="14.25" customHeight="1" x14ac:dyDescent="0.3">
      <c r="D368" s="393"/>
      <c r="P368" s="165"/>
    </row>
    <row r="369" spans="4:16" ht="14.25" customHeight="1" x14ac:dyDescent="0.3">
      <c r="D369" s="393"/>
      <c r="P369" s="165"/>
    </row>
    <row r="370" spans="4:16" ht="14.25" customHeight="1" x14ac:dyDescent="0.3">
      <c r="D370" s="393"/>
      <c r="P370" s="165"/>
    </row>
    <row r="371" spans="4:16" ht="14.25" customHeight="1" x14ac:dyDescent="0.3">
      <c r="D371" s="393"/>
      <c r="P371" s="165"/>
    </row>
    <row r="372" spans="4:16" ht="14.25" customHeight="1" x14ac:dyDescent="0.3">
      <c r="D372" s="393"/>
      <c r="P372" s="165"/>
    </row>
    <row r="373" spans="4:16" ht="14.25" customHeight="1" x14ac:dyDescent="0.3">
      <c r="D373" s="393"/>
      <c r="P373" s="165"/>
    </row>
    <row r="374" spans="4:16" ht="14.25" customHeight="1" x14ac:dyDescent="0.3">
      <c r="D374" s="393"/>
      <c r="P374" s="165"/>
    </row>
    <row r="375" spans="4:16" ht="14.25" customHeight="1" x14ac:dyDescent="0.3">
      <c r="D375" s="393"/>
      <c r="P375" s="165"/>
    </row>
    <row r="376" spans="4:16" ht="14.25" customHeight="1" x14ac:dyDescent="0.3">
      <c r="D376" s="393"/>
      <c r="P376" s="165"/>
    </row>
    <row r="377" spans="4:16" ht="14.25" customHeight="1" x14ac:dyDescent="0.3">
      <c r="D377" s="393"/>
      <c r="P377" s="165"/>
    </row>
    <row r="378" spans="4:16" ht="14.25" customHeight="1" x14ac:dyDescent="0.3">
      <c r="D378" s="393"/>
      <c r="P378" s="165"/>
    </row>
    <row r="379" spans="4:16" ht="14.25" customHeight="1" x14ac:dyDescent="0.3">
      <c r="D379" s="393"/>
      <c r="P379" s="165"/>
    </row>
    <row r="380" spans="4:16" ht="14.25" customHeight="1" x14ac:dyDescent="0.3">
      <c r="D380" s="393"/>
      <c r="P380" s="165"/>
    </row>
    <row r="381" spans="4:16" ht="14.25" customHeight="1" x14ac:dyDescent="0.3">
      <c r="D381" s="393"/>
      <c r="P381" s="165"/>
    </row>
    <row r="382" spans="4:16" ht="14.25" customHeight="1" x14ac:dyDescent="0.3">
      <c r="D382" s="393"/>
      <c r="P382" s="165"/>
    </row>
    <row r="383" spans="4:16" ht="14.25" customHeight="1" x14ac:dyDescent="0.3">
      <c r="D383" s="393"/>
      <c r="P383" s="165"/>
    </row>
    <row r="384" spans="4:16" ht="14.25" customHeight="1" x14ac:dyDescent="0.3">
      <c r="D384" s="393"/>
      <c r="P384" s="165"/>
    </row>
    <row r="385" spans="4:16" ht="14.25" customHeight="1" x14ac:dyDescent="0.3">
      <c r="D385" s="393"/>
      <c r="P385" s="165"/>
    </row>
    <row r="386" spans="4:16" ht="14.25" customHeight="1" x14ac:dyDescent="0.3">
      <c r="D386" s="393"/>
      <c r="P386" s="165"/>
    </row>
    <row r="387" spans="4:16" ht="14.25" customHeight="1" x14ac:dyDescent="0.3">
      <c r="D387" s="393"/>
      <c r="P387" s="165"/>
    </row>
    <row r="388" spans="4:16" ht="14.25" customHeight="1" x14ac:dyDescent="0.3">
      <c r="D388" s="393"/>
      <c r="P388" s="165"/>
    </row>
    <row r="389" spans="4:16" ht="14.25" customHeight="1" x14ac:dyDescent="0.3">
      <c r="D389" s="393"/>
      <c r="P389" s="165"/>
    </row>
    <row r="390" spans="4:16" ht="14.25" customHeight="1" x14ac:dyDescent="0.3">
      <c r="D390" s="393"/>
      <c r="P390" s="165"/>
    </row>
    <row r="391" spans="4:16" ht="14.25" customHeight="1" x14ac:dyDescent="0.3">
      <c r="D391" s="393"/>
      <c r="P391" s="165"/>
    </row>
    <row r="392" spans="4:16" ht="14.25" customHeight="1" x14ac:dyDescent="0.3">
      <c r="D392" s="393"/>
      <c r="P392" s="165"/>
    </row>
    <row r="393" spans="4:16" ht="14.25" customHeight="1" x14ac:dyDescent="0.3">
      <c r="D393" s="393"/>
      <c r="P393" s="165"/>
    </row>
    <row r="394" spans="4:16" ht="14.25" customHeight="1" x14ac:dyDescent="0.3">
      <c r="D394" s="393"/>
      <c r="P394" s="165"/>
    </row>
    <row r="395" spans="4:16" ht="14.25" customHeight="1" x14ac:dyDescent="0.3">
      <c r="D395" s="393"/>
      <c r="P395" s="165"/>
    </row>
    <row r="396" spans="4:16" ht="14.25" customHeight="1" x14ac:dyDescent="0.3">
      <c r="D396" s="393"/>
      <c r="P396" s="165"/>
    </row>
    <row r="397" spans="4:16" ht="14.25" customHeight="1" x14ac:dyDescent="0.3">
      <c r="D397" s="393"/>
      <c r="P397" s="165"/>
    </row>
    <row r="398" spans="4:16" ht="14.25" customHeight="1" x14ac:dyDescent="0.3">
      <c r="D398" s="393"/>
      <c r="P398" s="165"/>
    </row>
    <row r="399" spans="4:16" ht="14.25" customHeight="1" x14ac:dyDescent="0.3">
      <c r="D399" s="393"/>
      <c r="P399" s="165"/>
    </row>
    <row r="400" spans="4:16" ht="14.25" customHeight="1" x14ac:dyDescent="0.3">
      <c r="D400" s="393"/>
      <c r="P400" s="165"/>
    </row>
    <row r="401" spans="4:16" ht="14.25" customHeight="1" x14ac:dyDescent="0.3">
      <c r="D401" s="393"/>
      <c r="P401" s="165"/>
    </row>
    <row r="402" spans="4:16" ht="14.25" customHeight="1" x14ac:dyDescent="0.3">
      <c r="D402" s="393"/>
      <c r="P402" s="165"/>
    </row>
    <row r="403" spans="4:16" ht="14.25" customHeight="1" x14ac:dyDescent="0.3">
      <c r="D403" s="393"/>
      <c r="P403" s="165"/>
    </row>
    <row r="404" spans="4:16" ht="14.25" customHeight="1" x14ac:dyDescent="0.3">
      <c r="D404" s="393"/>
      <c r="P404" s="165"/>
    </row>
    <row r="405" spans="4:16" ht="14.25" customHeight="1" x14ac:dyDescent="0.3">
      <c r="D405" s="393"/>
      <c r="P405" s="165"/>
    </row>
    <row r="406" spans="4:16" ht="14.25" customHeight="1" x14ac:dyDescent="0.3">
      <c r="D406" s="393"/>
      <c r="P406" s="165"/>
    </row>
    <row r="407" spans="4:16" ht="14.25" customHeight="1" x14ac:dyDescent="0.3">
      <c r="D407" s="393"/>
      <c r="P407" s="165"/>
    </row>
    <row r="408" spans="4:16" ht="14.25" customHeight="1" x14ac:dyDescent="0.3">
      <c r="D408" s="393"/>
      <c r="P408" s="165"/>
    </row>
    <row r="409" spans="4:16" ht="14.25" customHeight="1" x14ac:dyDescent="0.3">
      <c r="D409" s="393"/>
      <c r="P409" s="165"/>
    </row>
    <row r="410" spans="4:16" ht="14.25" customHeight="1" x14ac:dyDescent="0.3">
      <c r="D410" s="393"/>
      <c r="P410" s="165"/>
    </row>
    <row r="411" spans="4:16" ht="14.25" customHeight="1" x14ac:dyDescent="0.3">
      <c r="D411" s="393"/>
      <c r="P411" s="165"/>
    </row>
    <row r="412" spans="4:16" ht="14.25" customHeight="1" x14ac:dyDescent="0.3">
      <c r="D412" s="393"/>
      <c r="P412" s="165"/>
    </row>
    <row r="413" spans="4:16" ht="14.25" customHeight="1" x14ac:dyDescent="0.3">
      <c r="D413" s="393"/>
      <c r="P413" s="165"/>
    </row>
    <row r="414" spans="4:16" ht="14.25" customHeight="1" x14ac:dyDescent="0.3">
      <c r="D414" s="393"/>
      <c r="P414" s="165"/>
    </row>
    <row r="415" spans="4:16" ht="14.25" customHeight="1" x14ac:dyDescent="0.3">
      <c r="D415" s="393"/>
      <c r="P415" s="165"/>
    </row>
    <row r="416" spans="4:16" ht="14.25" customHeight="1" x14ac:dyDescent="0.3">
      <c r="D416" s="393"/>
      <c r="P416" s="165"/>
    </row>
    <row r="417" spans="4:16" ht="14.25" customHeight="1" x14ac:dyDescent="0.3">
      <c r="D417" s="393"/>
      <c r="P417" s="165"/>
    </row>
    <row r="418" spans="4:16" ht="14.25" customHeight="1" x14ac:dyDescent="0.3">
      <c r="D418" s="393"/>
      <c r="P418" s="165"/>
    </row>
    <row r="419" spans="4:16" ht="14.25" customHeight="1" x14ac:dyDescent="0.3">
      <c r="D419" s="393"/>
      <c r="P419" s="165"/>
    </row>
    <row r="420" spans="4:16" ht="14.25" customHeight="1" x14ac:dyDescent="0.3">
      <c r="D420" s="393"/>
      <c r="P420" s="165"/>
    </row>
    <row r="421" spans="4:16" ht="14.25" customHeight="1" x14ac:dyDescent="0.3">
      <c r="D421" s="393"/>
      <c r="P421" s="165"/>
    </row>
    <row r="422" spans="4:16" ht="14.25" customHeight="1" x14ac:dyDescent="0.3">
      <c r="D422" s="393"/>
      <c r="P422" s="165"/>
    </row>
    <row r="423" spans="4:16" ht="14.25" customHeight="1" x14ac:dyDescent="0.3">
      <c r="D423" s="393"/>
      <c r="P423" s="165"/>
    </row>
    <row r="424" spans="4:16" ht="14.25" customHeight="1" x14ac:dyDescent="0.3">
      <c r="D424" s="393"/>
      <c r="P424" s="165"/>
    </row>
    <row r="425" spans="4:16" ht="14.25" customHeight="1" x14ac:dyDescent="0.3">
      <c r="D425" s="393"/>
      <c r="P425" s="165"/>
    </row>
    <row r="426" spans="4:16" ht="14.25" customHeight="1" x14ac:dyDescent="0.3">
      <c r="D426" s="393"/>
      <c r="P426" s="165"/>
    </row>
    <row r="427" spans="4:16" ht="14.25" customHeight="1" x14ac:dyDescent="0.3">
      <c r="D427" s="393"/>
      <c r="P427" s="165"/>
    </row>
    <row r="428" spans="4:16" ht="14.25" customHeight="1" x14ac:dyDescent="0.3">
      <c r="D428" s="393"/>
      <c r="P428" s="165"/>
    </row>
    <row r="429" spans="4:16" ht="14.25" customHeight="1" x14ac:dyDescent="0.3">
      <c r="D429" s="393"/>
      <c r="P429" s="165"/>
    </row>
    <row r="430" spans="4:16" ht="14.25" customHeight="1" x14ac:dyDescent="0.3">
      <c r="D430" s="393"/>
      <c r="P430" s="165"/>
    </row>
    <row r="431" spans="4:16" ht="14.25" customHeight="1" x14ac:dyDescent="0.3">
      <c r="D431" s="393"/>
      <c r="P431" s="165"/>
    </row>
    <row r="432" spans="4:16" ht="14.25" customHeight="1" x14ac:dyDescent="0.3">
      <c r="D432" s="393"/>
      <c r="P432" s="165"/>
    </row>
    <row r="433" spans="4:16" ht="14.25" customHeight="1" x14ac:dyDescent="0.3">
      <c r="D433" s="393"/>
      <c r="P433" s="165"/>
    </row>
    <row r="434" spans="4:16" ht="14.25" customHeight="1" x14ac:dyDescent="0.3">
      <c r="D434" s="393"/>
      <c r="P434" s="165"/>
    </row>
    <row r="435" spans="4:16" ht="14.25" customHeight="1" x14ac:dyDescent="0.3">
      <c r="D435" s="393"/>
      <c r="P435" s="165"/>
    </row>
    <row r="436" spans="4:16" ht="14.25" customHeight="1" x14ac:dyDescent="0.3">
      <c r="D436" s="393"/>
      <c r="P436" s="165"/>
    </row>
    <row r="437" spans="4:16" ht="14.25" customHeight="1" x14ac:dyDescent="0.3">
      <c r="D437" s="393"/>
      <c r="P437" s="165"/>
    </row>
    <row r="438" spans="4:16" ht="14.25" customHeight="1" x14ac:dyDescent="0.3">
      <c r="D438" s="393"/>
      <c r="P438" s="165"/>
    </row>
    <row r="439" spans="4:16" ht="14.25" customHeight="1" x14ac:dyDescent="0.3">
      <c r="D439" s="393"/>
      <c r="P439" s="165"/>
    </row>
    <row r="440" spans="4:16" ht="14.25" customHeight="1" x14ac:dyDescent="0.3">
      <c r="D440" s="393"/>
      <c r="P440" s="165"/>
    </row>
    <row r="441" spans="4:16" ht="14.25" customHeight="1" x14ac:dyDescent="0.3">
      <c r="D441" s="393"/>
      <c r="P441" s="165"/>
    </row>
    <row r="442" spans="4:16" ht="14.25" customHeight="1" x14ac:dyDescent="0.3">
      <c r="D442" s="393"/>
      <c r="P442" s="165"/>
    </row>
    <row r="443" spans="4:16" ht="14.25" customHeight="1" x14ac:dyDescent="0.3">
      <c r="D443" s="393"/>
      <c r="P443" s="165"/>
    </row>
    <row r="444" spans="4:16" ht="14.25" customHeight="1" x14ac:dyDescent="0.3">
      <c r="D444" s="393"/>
      <c r="P444" s="165"/>
    </row>
    <row r="445" spans="4:16" ht="14.25" customHeight="1" x14ac:dyDescent="0.3">
      <c r="D445" s="393"/>
      <c r="P445" s="165"/>
    </row>
    <row r="446" spans="4:16" ht="14.25" customHeight="1" x14ac:dyDescent="0.3">
      <c r="D446" s="393"/>
      <c r="P446" s="165"/>
    </row>
    <row r="447" spans="4:16" ht="14.25" customHeight="1" x14ac:dyDescent="0.3">
      <c r="D447" s="393"/>
      <c r="P447" s="165"/>
    </row>
    <row r="448" spans="4:16" ht="14.25" customHeight="1" x14ac:dyDescent="0.3">
      <c r="D448" s="393"/>
      <c r="P448" s="165"/>
    </row>
    <row r="449" spans="4:16" ht="14.25" customHeight="1" x14ac:dyDescent="0.3">
      <c r="D449" s="393"/>
      <c r="P449" s="165"/>
    </row>
    <row r="450" spans="4:16" ht="14.25" customHeight="1" x14ac:dyDescent="0.3">
      <c r="D450" s="393"/>
      <c r="P450" s="165"/>
    </row>
    <row r="451" spans="4:16" ht="14.25" customHeight="1" x14ac:dyDescent="0.3">
      <c r="D451" s="393"/>
      <c r="P451" s="165"/>
    </row>
    <row r="452" spans="4:16" ht="14.25" customHeight="1" x14ac:dyDescent="0.3">
      <c r="D452" s="393"/>
      <c r="P452" s="165"/>
    </row>
    <row r="453" spans="4:16" ht="14.25" customHeight="1" x14ac:dyDescent="0.3">
      <c r="D453" s="393"/>
      <c r="P453" s="165"/>
    </row>
    <row r="454" spans="4:16" ht="14.25" customHeight="1" x14ac:dyDescent="0.3">
      <c r="D454" s="393"/>
      <c r="P454" s="165"/>
    </row>
    <row r="455" spans="4:16" ht="14.25" customHeight="1" x14ac:dyDescent="0.3">
      <c r="D455" s="393"/>
      <c r="P455" s="165"/>
    </row>
    <row r="456" spans="4:16" ht="14.25" customHeight="1" x14ac:dyDescent="0.3">
      <c r="D456" s="393"/>
      <c r="P456" s="165"/>
    </row>
    <row r="457" spans="4:16" ht="14.25" customHeight="1" x14ac:dyDescent="0.3">
      <c r="D457" s="393"/>
      <c r="P457" s="165"/>
    </row>
    <row r="458" spans="4:16" ht="14.25" customHeight="1" x14ac:dyDescent="0.3">
      <c r="D458" s="393"/>
      <c r="P458" s="165"/>
    </row>
    <row r="459" spans="4:16" ht="14.25" customHeight="1" x14ac:dyDescent="0.3">
      <c r="D459" s="393"/>
      <c r="P459" s="165"/>
    </row>
    <row r="460" spans="4:16" ht="14.25" customHeight="1" x14ac:dyDescent="0.3">
      <c r="D460" s="393"/>
      <c r="P460" s="165"/>
    </row>
    <row r="461" spans="4:16" ht="14.25" customHeight="1" x14ac:dyDescent="0.3">
      <c r="D461" s="393"/>
      <c r="P461" s="165"/>
    </row>
    <row r="462" spans="4:16" ht="14.25" customHeight="1" x14ac:dyDescent="0.3">
      <c r="D462" s="393"/>
      <c r="P462" s="165"/>
    </row>
    <row r="463" spans="4:16" ht="14.25" customHeight="1" x14ac:dyDescent="0.3">
      <c r="D463" s="393"/>
      <c r="P463" s="165"/>
    </row>
    <row r="464" spans="4:16" ht="14.25" customHeight="1" x14ac:dyDescent="0.3">
      <c r="D464" s="393"/>
      <c r="P464" s="165"/>
    </row>
    <row r="465" spans="4:16" ht="14.25" customHeight="1" x14ac:dyDescent="0.3">
      <c r="D465" s="393"/>
      <c r="P465" s="165"/>
    </row>
    <row r="466" spans="4:16" ht="14.25" customHeight="1" x14ac:dyDescent="0.3">
      <c r="D466" s="393"/>
      <c r="P466" s="165"/>
    </row>
    <row r="467" spans="4:16" ht="14.25" customHeight="1" x14ac:dyDescent="0.3">
      <c r="D467" s="393"/>
      <c r="P467" s="165"/>
    </row>
    <row r="468" spans="4:16" ht="14.25" customHeight="1" x14ac:dyDescent="0.3">
      <c r="D468" s="393"/>
      <c r="P468" s="165"/>
    </row>
    <row r="469" spans="4:16" ht="14.25" customHeight="1" x14ac:dyDescent="0.3">
      <c r="D469" s="393"/>
      <c r="P469" s="165"/>
    </row>
    <row r="470" spans="4:16" ht="14.25" customHeight="1" x14ac:dyDescent="0.3">
      <c r="D470" s="393"/>
      <c r="P470" s="165"/>
    </row>
    <row r="471" spans="4:16" ht="14.25" customHeight="1" x14ac:dyDescent="0.3">
      <c r="D471" s="393"/>
      <c r="P471" s="165"/>
    </row>
    <row r="472" spans="4:16" ht="14.25" customHeight="1" x14ac:dyDescent="0.3">
      <c r="D472" s="393"/>
      <c r="P472" s="165"/>
    </row>
    <row r="473" spans="4:16" ht="14.25" customHeight="1" x14ac:dyDescent="0.3">
      <c r="D473" s="393"/>
      <c r="P473" s="165"/>
    </row>
    <row r="474" spans="4:16" ht="14.25" customHeight="1" x14ac:dyDescent="0.3">
      <c r="D474" s="393"/>
      <c r="P474" s="165"/>
    </row>
    <row r="475" spans="4:16" ht="14.25" customHeight="1" x14ac:dyDescent="0.3">
      <c r="D475" s="393"/>
      <c r="P475" s="165"/>
    </row>
    <row r="476" spans="4:16" ht="14.25" customHeight="1" x14ac:dyDescent="0.3">
      <c r="D476" s="393"/>
      <c r="P476" s="165"/>
    </row>
    <row r="477" spans="4:16" ht="14.25" customHeight="1" x14ac:dyDescent="0.3">
      <c r="D477" s="393"/>
      <c r="P477" s="165"/>
    </row>
    <row r="478" spans="4:16" ht="14.25" customHeight="1" x14ac:dyDescent="0.3">
      <c r="D478" s="393"/>
      <c r="P478" s="165"/>
    </row>
    <row r="479" spans="4:16" ht="14.25" customHeight="1" x14ac:dyDescent="0.3">
      <c r="D479" s="393"/>
      <c r="P479" s="165"/>
    </row>
    <row r="480" spans="4:16" ht="14.25" customHeight="1" x14ac:dyDescent="0.3">
      <c r="D480" s="393"/>
      <c r="P480" s="165"/>
    </row>
    <row r="481" spans="4:16" ht="14.25" customHeight="1" x14ac:dyDescent="0.3">
      <c r="D481" s="393"/>
      <c r="P481" s="165"/>
    </row>
    <row r="482" spans="4:16" ht="14.25" customHeight="1" x14ac:dyDescent="0.3">
      <c r="D482" s="393"/>
      <c r="P482" s="165"/>
    </row>
    <row r="483" spans="4:16" ht="14.25" customHeight="1" x14ac:dyDescent="0.3">
      <c r="D483" s="393"/>
      <c r="P483" s="165"/>
    </row>
    <row r="484" spans="4:16" ht="14.25" customHeight="1" x14ac:dyDescent="0.3">
      <c r="D484" s="393"/>
      <c r="P484" s="165"/>
    </row>
    <row r="485" spans="4:16" ht="14.25" customHeight="1" x14ac:dyDescent="0.3">
      <c r="D485" s="393"/>
      <c r="P485" s="165"/>
    </row>
    <row r="486" spans="4:16" ht="14.25" customHeight="1" x14ac:dyDescent="0.3">
      <c r="D486" s="393"/>
      <c r="P486" s="165"/>
    </row>
    <row r="487" spans="4:16" ht="14.25" customHeight="1" x14ac:dyDescent="0.3">
      <c r="D487" s="393"/>
      <c r="P487" s="165"/>
    </row>
    <row r="488" spans="4:16" ht="14.25" customHeight="1" x14ac:dyDescent="0.3">
      <c r="D488" s="393"/>
      <c r="P488" s="165"/>
    </row>
    <row r="489" spans="4:16" ht="14.25" customHeight="1" x14ac:dyDescent="0.3">
      <c r="D489" s="393"/>
      <c r="P489" s="165"/>
    </row>
    <row r="490" spans="4:16" ht="14.25" customHeight="1" x14ac:dyDescent="0.3">
      <c r="D490" s="393"/>
      <c r="P490" s="165"/>
    </row>
    <row r="491" spans="4:16" ht="14.25" customHeight="1" x14ac:dyDescent="0.3">
      <c r="D491" s="393"/>
      <c r="P491" s="165"/>
    </row>
    <row r="492" spans="4:16" ht="14.25" customHeight="1" x14ac:dyDescent="0.3">
      <c r="D492" s="393"/>
      <c r="P492" s="165"/>
    </row>
    <row r="493" spans="4:16" ht="14.25" customHeight="1" x14ac:dyDescent="0.3">
      <c r="D493" s="393"/>
      <c r="P493" s="165"/>
    </row>
    <row r="494" spans="4:16" ht="14.25" customHeight="1" x14ac:dyDescent="0.3">
      <c r="D494" s="393"/>
      <c r="P494" s="165"/>
    </row>
    <row r="495" spans="4:16" ht="14.25" customHeight="1" x14ac:dyDescent="0.3">
      <c r="D495" s="393"/>
      <c r="P495" s="165"/>
    </row>
    <row r="496" spans="4:16" ht="14.25" customHeight="1" x14ac:dyDescent="0.3">
      <c r="D496" s="393"/>
      <c r="P496" s="165"/>
    </row>
    <row r="497" spans="4:16" ht="14.25" customHeight="1" x14ac:dyDescent="0.3">
      <c r="D497" s="393"/>
      <c r="P497" s="165"/>
    </row>
    <row r="498" spans="4:16" ht="14.25" customHeight="1" x14ac:dyDescent="0.3">
      <c r="D498" s="393"/>
      <c r="P498" s="165"/>
    </row>
    <row r="499" spans="4:16" ht="14.25" customHeight="1" x14ac:dyDescent="0.3">
      <c r="D499" s="393"/>
      <c r="P499" s="165"/>
    </row>
    <row r="500" spans="4:16" ht="14.25" customHeight="1" x14ac:dyDescent="0.3">
      <c r="D500" s="393"/>
      <c r="P500" s="165"/>
    </row>
    <row r="501" spans="4:16" ht="14.25" customHeight="1" x14ac:dyDescent="0.3">
      <c r="D501" s="393"/>
      <c r="P501" s="165"/>
    </row>
    <row r="502" spans="4:16" ht="14.25" customHeight="1" x14ac:dyDescent="0.3">
      <c r="D502" s="393"/>
      <c r="P502" s="165"/>
    </row>
    <row r="503" spans="4:16" ht="14.25" customHeight="1" x14ac:dyDescent="0.3">
      <c r="D503" s="393"/>
      <c r="P503" s="165"/>
    </row>
    <row r="504" spans="4:16" ht="14.25" customHeight="1" x14ac:dyDescent="0.3">
      <c r="D504" s="393"/>
      <c r="P504" s="165"/>
    </row>
    <row r="505" spans="4:16" ht="14.25" customHeight="1" x14ac:dyDescent="0.3">
      <c r="D505" s="393"/>
      <c r="P505" s="165"/>
    </row>
    <row r="506" spans="4:16" ht="14.25" customHeight="1" x14ac:dyDescent="0.3">
      <c r="D506" s="393"/>
      <c r="P506" s="165"/>
    </row>
    <row r="507" spans="4:16" ht="14.25" customHeight="1" x14ac:dyDescent="0.3">
      <c r="D507" s="393"/>
      <c r="P507" s="165"/>
    </row>
    <row r="508" spans="4:16" ht="14.25" customHeight="1" x14ac:dyDescent="0.3">
      <c r="D508" s="393"/>
      <c r="P508" s="165"/>
    </row>
    <row r="509" spans="4:16" ht="14.25" customHeight="1" x14ac:dyDescent="0.3">
      <c r="D509" s="393"/>
      <c r="P509" s="165"/>
    </row>
    <row r="510" spans="4:16" ht="14.25" customHeight="1" x14ac:dyDescent="0.3">
      <c r="D510" s="393"/>
      <c r="P510" s="165"/>
    </row>
    <row r="511" spans="4:16" ht="14.25" customHeight="1" x14ac:dyDescent="0.3">
      <c r="D511" s="393"/>
      <c r="P511" s="165"/>
    </row>
    <row r="512" spans="4:16" ht="14.25" customHeight="1" x14ac:dyDescent="0.3">
      <c r="D512" s="393"/>
      <c r="P512" s="165"/>
    </row>
    <row r="513" spans="4:16" ht="14.25" customHeight="1" x14ac:dyDescent="0.3">
      <c r="D513" s="393"/>
      <c r="P513" s="165"/>
    </row>
    <row r="514" spans="4:16" ht="14.25" customHeight="1" x14ac:dyDescent="0.3">
      <c r="D514" s="393"/>
      <c r="P514" s="165"/>
    </row>
    <row r="515" spans="4:16" ht="14.25" customHeight="1" x14ac:dyDescent="0.3">
      <c r="D515" s="393"/>
      <c r="P515" s="165"/>
    </row>
    <row r="516" spans="4:16" ht="14.25" customHeight="1" x14ac:dyDescent="0.3">
      <c r="D516" s="393"/>
      <c r="P516" s="165"/>
    </row>
    <row r="517" spans="4:16" ht="14.25" customHeight="1" x14ac:dyDescent="0.3">
      <c r="D517" s="393"/>
      <c r="P517" s="165"/>
    </row>
    <row r="518" spans="4:16" ht="14.25" customHeight="1" x14ac:dyDescent="0.3">
      <c r="D518" s="393"/>
      <c r="P518" s="165"/>
    </row>
    <row r="519" spans="4:16" ht="14.25" customHeight="1" x14ac:dyDescent="0.3">
      <c r="D519" s="393"/>
      <c r="P519" s="165"/>
    </row>
    <row r="520" spans="4:16" ht="14.25" customHeight="1" x14ac:dyDescent="0.3">
      <c r="D520" s="393"/>
      <c r="P520" s="165"/>
    </row>
    <row r="521" spans="4:16" ht="14.25" customHeight="1" x14ac:dyDescent="0.3">
      <c r="D521" s="393"/>
      <c r="P521" s="165"/>
    </row>
    <row r="522" spans="4:16" ht="14.25" customHeight="1" x14ac:dyDescent="0.3">
      <c r="D522" s="393"/>
      <c r="P522" s="165"/>
    </row>
    <row r="523" spans="4:16" ht="14.25" customHeight="1" x14ac:dyDescent="0.3">
      <c r="D523" s="393"/>
      <c r="P523" s="165"/>
    </row>
    <row r="524" spans="4:16" ht="14.25" customHeight="1" x14ac:dyDescent="0.3">
      <c r="D524" s="393"/>
      <c r="P524" s="165"/>
    </row>
    <row r="525" spans="4:16" ht="14.25" customHeight="1" x14ac:dyDescent="0.3">
      <c r="D525" s="393"/>
      <c r="P525" s="165"/>
    </row>
    <row r="526" spans="4:16" ht="14.25" customHeight="1" x14ac:dyDescent="0.3">
      <c r="D526" s="393"/>
      <c r="P526" s="165"/>
    </row>
    <row r="527" spans="4:16" ht="14.25" customHeight="1" x14ac:dyDescent="0.3">
      <c r="D527" s="393"/>
      <c r="P527" s="165"/>
    </row>
    <row r="528" spans="4:16" ht="14.25" customHeight="1" x14ac:dyDescent="0.3">
      <c r="D528" s="393"/>
      <c r="P528" s="165"/>
    </row>
    <row r="529" spans="4:16" ht="14.25" customHeight="1" x14ac:dyDescent="0.3">
      <c r="D529" s="393"/>
      <c r="P529" s="165"/>
    </row>
    <row r="530" spans="4:16" ht="14.25" customHeight="1" x14ac:dyDescent="0.3">
      <c r="D530" s="393"/>
      <c r="P530" s="165"/>
    </row>
    <row r="531" spans="4:16" ht="14.25" customHeight="1" x14ac:dyDescent="0.3">
      <c r="D531" s="393"/>
      <c r="P531" s="165"/>
    </row>
    <row r="532" spans="4:16" ht="14.25" customHeight="1" x14ac:dyDescent="0.3">
      <c r="D532" s="393"/>
      <c r="P532" s="165"/>
    </row>
    <row r="533" spans="4:16" ht="14.25" customHeight="1" x14ac:dyDescent="0.3">
      <c r="D533" s="393"/>
      <c r="P533" s="165"/>
    </row>
    <row r="534" spans="4:16" ht="14.25" customHeight="1" x14ac:dyDescent="0.3">
      <c r="D534" s="393"/>
      <c r="P534" s="165"/>
    </row>
    <row r="535" spans="4:16" ht="14.25" customHeight="1" x14ac:dyDescent="0.3">
      <c r="D535" s="393"/>
      <c r="P535" s="165"/>
    </row>
    <row r="536" spans="4:16" ht="14.25" customHeight="1" x14ac:dyDescent="0.3">
      <c r="D536" s="393"/>
      <c r="P536" s="165"/>
    </row>
    <row r="537" spans="4:16" ht="14.25" customHeight="1" x14ac:dyDescent="0.3">
      <c r="D537" s="393"/>
      <c r="P537" s="165"/>
    </row>
    <row r="538" spans="4:16" ht="14.25" customHeight="1" x14ac:dyDescent="0.3">
      <c r="D538" s="393"/>
      <c r="P538" s="165"/>
    </row>
    <row r="539" spans="4:16" ht="14.25" customHeight="1" x14ac:dyDescent="0.3">
      <c r="D539" s="393"/>
      <c r="P539" s="165"/>
    </row>
    <row r="540" spans="4:16" ht="14.25" customHeight="1" x14ac:dyDescent="0.3">
      <c r="D540" s="393"/>
      <c r="P540" s="165"/>
    </row>
    <row r="541" spans="4:16" ht="14.25" customHeight="1" x14ac:dyDescent="0.3">
      <c r="D541" s="393"/>
      <c r="P541" s="165"/>
    </row>
    <row r="542" spans="4:16" ht="14.25" customHeight="1" x14ac:dyDescent="0.3">
      <c r="D542" s="393"/>
      <c r="P542" s="165"/>
    </row>
    <row r="543" spans="4:16" ht="14.25" customHeight="1" x14ac:dyDescent="0.3">
      <c r="D543" s="393"/>
      <c r="P543" s="165"/>
    </row>
    <row r="544" spans="4:16" ht="14.25" customHeight="1" x14ac:dyDescent="0.3">
      <c r="D544" s="393"/>
      <c r="P544" s="165"/>
    </row>
    <row r="545" spans="4:16" ht="14.25" customHeight="1" x14ac:dyDescent="0.3">
      <c r="D545" s="393"/>
      <c r="P545" s="165"/>
    </row>
    <row r="546" spans="4:16" ht="14.25" customHeight="1" x14ac:dyDescent="0.3">
      <c r="D546" s="393"/>
      <c r="P546" s="165"/>
    </row>
    <row r="547" spans="4:16" ht="14.25" customHeight="1" x14ac:dyDescent="0.3">
      <c r="D547" s="393"/>
      <c r="P547" s="165"/>
    </row>
    <row r="548" spans="4:16" ht="14.25" customHeight="1" x14ac:dyDescent="0.3">
      <c r="D548" s="393"/>
      <c r="P548" s="165"/>
    </row>
    <row r="549" spans="4:16" ht="14.25" customHeight="1" x14ac:dyDescent="0.3">
      <c r="D549" s="393"/>
      <c r="P549" s="165"/>
    </row>
    <row r="550" spans="4:16" ht="14.25" customHeight="1" x14ac:dyDescent="0.3">
      <c r="D550" s="393"/>
      <c r="P550" s="165"/>
    </row>
    <row r="551" spans="4:16" ht="14.25" customHeight="1" x14ac:dyDescent="0.3">
      <c r="D551" s="393"/>
      <c r="P551" s="165"/>
    </row>
    <row r="552" spans="4:16" ht="14.25" customHeight="1" x14ac:dyDescent="0.3">
      <c r="D552" s="393"/>
      <c r="P552" s="165"/>
    </row>
    <row r="553" spans="4:16" ht="14.25" customHeight="1" x14ac:dyDescent="0.3">
      <c r="D553" s="393"/>
      <c r="P553" s="165"/>
    </row>
    <row r="554" spans="4:16" ht="14.25" customHeight="1" x14ac:dyDescent="0.3">
      <c r="D554" s="393"/>
      <c r="P554" s="165"/>
    </row>
    <row r="555" spans="4:16" ht="14.25" customHeight="1" x14ac:dyDescent="0.3">
      <c r="D555" s="393"/>
      <c r="P555" s="165"/>
    </row>
    <row r="556" spans="4:16" ht="14.25" customHeight="1" x14ac:dyDescent="0.3">
      <c r="D556" s="393"/>
      <c r="P556" s="165"/>
    </row>
    <row r="557" spans="4:16" ht="14.25" customHeight="1" x14ac:dyDescent="0.3">
      <c r="D557" s="393"/>
      <c r="P557" s="165"/>
    </row>
    <row r="558" spans="4:16" ht="14.25" customHeight="1" x14ac:dyDescent="0.3">
      <c r="D558" s="393"/>
      <c r="P558" s="165"/>
    </row>
    <row r="559" spans="4:16" ht="14.25" customHeight="1" x14ac:dyDescent="0.3">
      <c r="D559" s="393"/>
      <c r="P559" s="165"/>
    </row>
    <row r="560" spans="4:16" ht="14.25" customHeight="1" x14ac:dyDescent="0.3">
      <c r="D560" s="393"/>
      <c r="P560" s="165"/>
    </row>
    <row r="561" spans="4:16" ht="14.25" customHeight="1" x14ac:dyDescent="0.3">
      <c r="D561" s="393"/>
      <c r="P561" s="165"/>
    </row>
    <row r="562" spans="4:16" ht="14.25" customHeight="1" x14ac:dyDescent="0.3">
      <c r="D562" s="393"/>
      <c r="P562" s="165"/>
    </row>
    <row r="563" spans="4:16" ht="14.25" customHeight="1" x14ac:dyDescent="0.3">
      <c r="D563" s="393"/>
      <c r="P563" s="165"/>
    </row>
    <row r="564" spans="4:16" ht="14.25" customHeight="1" x14ac:dyDescent="0.3">
      <c r="D564" s="393"/>
      <c r="P564" s="165"/>
    </row>
    <row r="565" spans="4:16" ht="14.25" customHeight="1" x14ac:dyDescent="0.3">
      <c r="D565" s="393"/>
      <c r="P565" s="165"/>
    </row>
    <row r="566" spans="4:16" ht="14.25" customHeight="1" x14ac:dyDescent="0.3">
      <c r="D566" s="393"/>
      <c r="P566" s="165"/>
    </row>
    <row r="567" spans="4:16" ht="14.25" customHeight="1" x14ac:dyDescent="0.3">
      <c r="D567" s="393"/>
      <c r="P567" s="165"/>
    </row>
    <row r="568" spans="4:16" ht="14.25" customHeight="1" x14ac:dyDescent="0.3">
      <c r="D568" s="393"/>
      <c r="P568" s="165"/>
    </row>
    <row r="569" spans="4:16" ht="14.25" customHeight="1" x14ac:dyDescent="0.3">
      <c r="D569" s="393"/>
      <c r="P569" s="165"/>
    </row>
    <row r="570" spans="4:16" ht="14.25" customHeight="1" x14ac:dyDescent="0.3">
      <c r="D570" s="393"/>
      <c r="P570" s="165"/>
    </row>
    <row r="571" spans="4:16" ht="14.25" customHeight="1" x14ac:dyDescent="0.3">
      <c r="D571" s="393"/>
      <c r="P571" s="165"/>
    </row>
    <row r="572" spans="4:16" ht="14.25" customHeight="1" x14ac:dyDescent="0.3">
      <c r="D572" s="393"/>
      <c r="P572" s="165"/>
    </row>
    <row r="573" spans="4:16" ht="14.25" customHeight="1" x14ac:dyDescent="0.3">
      <c r="D573" s="393"/>
      <c r="P573" s="165"/>
    </row>
    <row r="574" spans="4:16" ht="14.25" customHeight="1" x14ac:dyDescent="0.3">
      <c r="D574" s="393"/>
      <c r="P574" s="165"/>
    </row>
    <row r="575" spans="4:16" ht="14.25" customHeight="1" x14ac:dyDescent="0.3">
      <c r="D575" s="393"/>
      <c r="P575" s="165"/>
    </row>
    <row r="576" spans="4:16" ht="14.25" customHeight="1" x14ac:dyDescent="0.3">
      <c r="D576" s="393"/>
      <c r="P576" s="165"/>
    </row>
    <row r="577" spans="4:16" ht="14.25" customHeight="1" x14ac:dyDescent="0.3">
      <c r="D577" s="393"/>
      <c r="P577" s="165"/>
    </row>
    <row r="578" spans="4:16" ht="14.25" customHeight="1" x14ac:dyDescent="0.3">
      <c r="D578" s="393"/>
      <c r="P578" s="165"/>
    </row>
    <row r="579" spans="4:16" ht="14.25" customHeight="1" x14ac:dyDescent="0.3">
      <c r="D579" s="393"/>
      <c r="P579" s="165"/>
    </row>
    <row r="580" spans="4:16" ht="14.25" customHeight="1" x14ac:dyDescent="0.3">
      <c r="D580" s="393"/>
      <c r="P580" s="165"/>
    </row>
    <row r="581" spans="4:16" ht="14.25" customHeight="1" x14ac:dyDescent="0.3">
      <c r="D581" s="393"/>
      <c r="P581" s="165"/>
    </row>
    <row r="582" spans="4:16" ht="14.25" customHeight="1" x14ac:dyDescent="0.3">
      <c r="D582" s="393"/>
      <c r="P582" s="165"/>
    </row>
    <row r="583" spans="4:16" ht="14.25" customHeight="1" x14ac:dyDescent="0.3">
      <c r="D583" s="393"/>
      <c r="P583" s="165"/>
    </row>
    <row r="584" spans="4:16" ht="14.25" customHeight="1" x14ac:dyDescent="0.3">
      <c r="D584" s="393"/>
      <c r="P584" s="165"/>
    </row>
    <row r="585" spans="4:16" ht="14.25" customHeight="1" x14ac:dyDescent="0.3">
      <c r="D585" s="393"/>
      <c r="P585" s="165"/>
    </row>
    <row r="586" spans="4:16" ht="14.25" customHeight="1" x14ac:dyDescent="0.3">
      <c r="D586" s="393"/>
      <c r="P586" s="165"/>
    </row>
    <row r="587" spans="4:16" ht="14.25" customHeight="1" x14ac:dyDescent="0.3">
      <c r="D587" s="393"/>
      <c r="P587" s="165"/>
    </row>
    <row r="588" spans="4:16" ht="14.25" customHeight="1" x14ac:dyDescent="0.3">
      <c r="D588" s="393"/>
      <c r="P588" s="165"/>
    </row>
    <row r="589" spans="4:16" ht="14.25" customHeight="1" x14ac:dyDescent="0.3">
      <c r="D589" s="393"/>
      <c r="P589" s="165"/>
    </row>
    <row r="590" spans="4:16" ht="14.25" customHeight="1" x14ac:dyDescent="0.3">
      <c r="D590" s="393"/>
      <c r="P590" s="165"/>
    </row>
    <row r="591" spans="4:16" ht="14.25" customHeight="1" x14ac:dyDescent="0.3">
      <c r="D591" s="393"/>
      <c r="P591" s="165"/>
    </row>
    <row r="592" spans="4:16" ht="14.25" customHeight="1" x14ac:dyDescent="0.3">
      <c r="D592" s="393"/>
      <c r="P592" s="165"/>
    </row>
    <row r="593" spans="4:16" ht="14.25" customHeight="1" x14ac:dyDescent="0.3">
      <c r="D593" s="393"/>
      <c r="P593" s="165"/>
    </row>
    <row r="594" spans="4:16" ht="14.25" customHeight="1" x14ac:dyDescent="0.3">
      <c r="D594" s="393"/>
      <c r="P594" s="165"/>
    </row>
    <row r="595" spans="4:16" ht="14.25" customHeight="1" x14ac:dyDescent="0.3">
      <c r="D595" s="393"/>
      <c r="P595" s="165"/>
    </row>
    <row r="596" spans="4:16" ht="14.25" customHeight="1" x14ac:dyDescent="0.3">
      <c r="D596" s="393"/>
      <c r="P596" s="165"/>
    </row>
    <row r="597" spans="4:16" ht="14.25" customHeight="1" x14ac:dyDescent="0.3">
      <c r="D597" s="393"/>
      <c r="P597" s="165"/>
    </row>
    <row r="598" spans="4:16" ht="14.25" customHeight="1" x14ac:dyDescent="0.3">
      <c r="D598" s="393"/>
      <c r="P598" s="165"/>
    </row>
    <row r="599" spans="4:16" ht="14.25" customHeight="1" x14ac:dyDescent="0.3">
      <c r="D599" s="393"/>
      <c r="P599" s="165"/>
    </row>
    <row r="600" spans="4:16" ht="14.25" customHeight="1" x14ac:dyDescent="0.3">
      <c r="D600" s="393"/>
      <c r="P600" s="165"/>
    </row>
    <row r="601" spans="4:16" ht="14.25" customHeight="1" x14ac:dyDescent="0.3">
      <c r="D601" s="393"/>
      <c r="P601" s="165"/>
    </row>
    <row r="602" spans="4:16" ht="14.25" customHeight="1" x14ac:dyDescent="0.3">
      <c r="D602" s="393"/>
      <c r="P602" s="165"/>
    </row>
    <row r="603" spans="4:16" ht="14.25" customHeight="1" x14ac:dyDescent="0.3">
      <c r="D603" s="393"/>
      <c r="P603" s="165"/>
    </row>
    <row r="604" spans="4:16" ht="14.25" customHeight="1" x14ac:dyDescent="0.3">
      <c r="D604" s="393"/>
      <c r="P604" s="165"/>
    </row>
    <row r="605" spans="4:16" ht="14.25" customHeight="1" x14ac:dyDescent="0.3">
      <c r="D605" s="393"/>
      <c r="P605" s="165"/>
    </row>
    <row r="606" spans="4:16" ht="14.25" customHeight="1" x14ac:dyDescent="0.3">
      <c r="D606" s="393"/>
      <c r="P606" s="165"/>
    </row>
    <row r="607" spans="4:16" ht="14.25" customHeight="1" x14ac:dyDescent="0.3">
      <c r="D607" s="393"/>
      <c r="P607" s="165"/>
    </row>
    <row r="608" spans="4:16" ht="14.25" customHeight="1" x14ac:dyDescent="0.3">
      <c r="D608" s="393"/>
      <c r="P608" s="165"/>
    </row>
    <row r="609" spans="4:16" ht="14.25" customHeight="1" x14ac:dyDescent="0.3">
      <c r="D609" s="393"/>
      <c r="P609" s="165"/>
    </row>
    <row r="610" spans="4:16" ht="14.25" customHeight="1" x14ac:dyDescent="0.3">
      <c r="D610" s="393"/>
      <c r="P610" s="165"/>
    </row>
    <row r="611" spans="4:16" ht="14.25" customHeight="1" x14ac:dyDescent="0.3">
      <c r="D611" s="393"/>
      <c r="P611" s="165"/>
    </row>
    <row r="612" spans="4:16" ht="14.25" customHeight="1" x14ac:dyDescent="0.3">
      <c r="D612" s="393"/>
      <c r="P612" s="165"/>
    </row>
    <row r="613" spans="4:16" ht="14.25" customHeight="1" x14ac:dyDescent="0.3">
      <c r="D613" s="393"/>
      <c r="P613" s="165"/>
    </row>
    <row r="614" spans="4:16" ht="14.25" customHeight="1" x14ac:dyDescent="0.3">
      <c r="D614" s="393"/>
      <c r="P614" s="165"/>
    </row>
    <row r="615" spans="4:16" ht="14.25" customHeight="1" x14ac:dyDescent="0.3">
      <c r="D615" s="393"/>
      <c r="P615" s="165"/>
    </row>
    <row r="616" spans="4:16" ht="14.25" customHeight="1" x14ac:dyDescent="0.3">
      <c r="D616" s="393"/>
      <c r="P616" s="165"/>
    </row>
    <row r="617" spans="4:16" ht="14.25" customHeight="1" x14ac:dyDescent="0.3">
      <c r="D617" s="393"/>
      <c r="P617" s="165"/>
    </row>
    <row r="618" spans="4:16" ht="14.25" customHeight="1" x14ac:dyDescent="0.3">
      <c r="D618" s="393"/>
      <c r="P618" s="165"/>
    </row>
    <row r="619" spans="4:16" ht="14.25" customHeight="1" x14ac:dyDescent="0.3">
      <c r="D619" s="393"/>
      <c r="P619" s="165"/>
    </row>
    <row r="620" spans="4:16" ht="14.25" customHeight="1" x14ac:dyDescent="0.3">
      <c r="D620" s="393"/>
      <c r="P620" s="165"/>
    </row>
    <row r="621" spans="4:16" ht="14.25" customHeight="1" x14ac:dyDescent="0.3">
      <c r="D621" s="393"/>
      <c r="P621" s="165"/>
    </row>
    <row r="622" spans="4:16" ht="14.25" customHeight="1" x14ac:dyDescent="0.3">
      <c r="D622" s="393"/>
      <c r="P622" s="165"/>
    </row>
    <row r="623" spans="4:16" ht="14.25" customHeight="1" x14ac:dyDescent="0.3">
      <c r="D623" s="393"/>
      <c r="P623" s="165"/>
    </row>
    <row r="624" spans="4:16" ht="14.25" customHeight="1" x14ac:dyDescent="0.3">
      <c r="D624" s="393"/>
      <c r="P624" s="165"/>
    </row>
    <row r="625" spans="4:16" ht="14.25" customHeight="1" x14ac:dyDescent="0.3">
      <c r="D625" s="393"/>
      <c r="P625" s="165"/>
    </row>
    <row r="626" spans="4:16" ht="14.25" customHeight="1" x14ac:dyDescent="0.3">
      <c r="D626" s="393"/>
      <c r="P626" s="165"/>
    </row>
    <row r="627" spans="4:16" ht="14.25" customHeight="1" x14ac:dyDescent="0.3">
      <c r="D627" s="393"/>
      <c r="P627" s="165"/>
    </row>
    <row r="628" spans="4:16" ht="14.25" customHeight="1" x14ac:dyDescent="0.3">
      <c r="D628" s="393"/>
      <c r="P628" s="165"/>
    </row>
    <row r="629" spans="4:16" ht="14.25" customHeight="1" x14ac:dyDescent="0.3">
      <c r="D629" s="393"/>
      <c r="P629" s="165"/>
    </row>
    <row r="630" spans="4:16" ht="14.25" customHeight="1" x14ac:dyDescent="0.3">
      <c r="D630" s="393"/>
      <c r="P630" s="165"/>
    </row>
    <row r="631" spans="4:16" ht="14.25" customHeight="1" x14ac:dyDescent="0.3">
      <c r="D631" s="393"/>
      <c r="P631" s="165"/>
    </row>
    <row r="632" spans="4:16" ht="14.25" customHeight="1" x14ac:dyDescent="0.3">
      <c r="D632" s="393"/>
      <c r="P632" s="165"/>
    </row>
    <row r="633" spans="4:16" ht="14.25" customHeight="1" x14ac:dyDescent="0.3">
      <c r="D633" s="393"/>
      <c r="P633" s="165"/>
    </row>
    <row r="634" spans="4:16" ht="14.25" customHeight="1" x14ac:dyDescent="0.3">
      <c r="D634" s="393"/>
      <c r="P634" s="165"/>
    </row>
    <row r="635" spans="4:16" ht="14.25" customHeight="1" x14ac:dyDescent="0.3">
      <c r="D635" s="393"/>
      <c r="P635" s="165"/>
    </row>
    <row r="636" spans="4:16" ht="14.25" customHeight="1" x14ac:dyDescent="0.3">
      <c r="D636" s="393"/>
      <c r="P636" s="165"/>
    </row>
    <row r="637" spans="4:16" ht="14.25" customHeight="1" x14ac:dyDescent="0.3">
      <c r="D637" s="393"/>
      <c r="P637" s="165"/>
    </row>
    <row r="638" spans="4:16" ht="14.25" customHeight="1" x14ac:dyDescent="0.3">
      <c r="D638" s="393"/>
      <c r="P638" s="165"/>
    </row>
    <row r="639" spans="4:16" ht="14.25" customHeight="1" x14ac:dyDescent="0.3">
      <c r="D639" s="393"/>
      <c r="P639" s="165"/>
    </row>
    <row r="640" spans="4:16" ht="14.25" customHeight="1" x14ac:dyDescent="0.3">
      <c r="D640" s="393"/>
      <c r="P640" s="165"/>
    </row>
    <row r="641" spans="4:16" ht="14.25" customHeight="1" x14ac:dyDescent="0.3">
      <c r="D641" s="393"/>
      <c r="P641" s="165"/>
    </row>
    <row r="642" spans="4:16" ht="14.25" customHeight="1" x14ac:dyDescent="0.3">
      <c r="D642" s="393"/>
      <c r="P642" s="165"/>
    </row>
    <row r="643" spans="4:16" ht="14.25" customHeight="1" x14ac:dyDescent="0.3">
      <c r="D643" s="393"/>
      <c r="P643" s="165"/>
    </row>
    <row r="644" spans="4:16" ht="14.25" customHeight="1" x14ac:dyDescent="0.3">
      <c r="D644" s="393"/>
      <c r="P644" s="165"/>
    </row>
    <row r="645" spans="4:16" ht="14.25" customHeight="1" x14ac:dyDescent="0.3">
      <c r="D645" s="393"/>
      <c r="P645" s="165"/>
    </row>
    <row r="646" spans="4:16" ht="14.25" customHeight="1" x14ac:dyDescent="0.3">
      <c r="D646" s="393"/>
      <c r="P646" s="165"/>
    </row>
    <row r="647" spans="4:16" ht="14.25" customHeight="1" x14ac:dyDescent="0.3">
      <c r="D647" s="393"/>
      <c r="P647" s="165"/>
    </row>
    <row r="648" spans="4:16" ht="14.25" customHeight="1" x14ac:dyDescent="0.3">
      <c r="D648" s="393"/>
      <c r="P648" s="165"/>
    </row>
    <row r="649" spans="4:16" ht="14.25" customHeight="1" x14ac:dyDescent="0.3">
      <c r="D649" s="393"/>
      <c r="P649" s="165"/>
    </row>
    <row r="650" spans="4:16" ht="14.25" customHeight="1" x14ac:dyDescent="0.3">
      <c r="D650" s="393"/>
      <c r="P650" s="165"/>
    </row>
    <row r="651" spans="4:16" ht="14.25" customHeight="1" x14ac:dyDescent="0.3">
      <c r="D651" s="393"/>
      <c r="P651" s="165"/>
    </row>
    <row r="652" spans="4:16" ht="14.25" customHeight="1" x14ac:dyDescent="0.3">
      <c r="D652" s="393"/>
      <c r="P652" s="165"/>
    </row>
    <row r="653" spans="4:16" ht="14.25" customHeight="1" x14ac:dyDescent="0.3">
      <c r="D653" s="393"/>
      <c r="P653" s="165"/>
    </row>
    <row r="654" spans="4:16" ht="14.25" customHeight="1" x14ac:dyDescent="0.3">
      <c r="D654" s="393"/>
      <c r="P654" s="165"/>
    </row>
    <row r="655" spans="4:16" ht="14.25" customHeight="1" x14ac:dyDescent="0.3">
      <c r="D655" s="393"/>
      <c r="P655" s="165"/>
    </row>
    <row r="656" spans="4:16" ht="14.25" customHeight="1" x14ac:dyDescent="0.3">
      <c r="D656" s="393"/>
      <c r="P656" s="165"/>
    </row>
    <row r="657" spans="4:16" ht="14.25" customHeight="1" x14ac:dyDescent="0.3">
      <c r="D657" s="393"/>
      <c r="P657" s="165"/>
    </row>
    <row r="658" spans="4:16" ht="14.25" customHeight="1" x14ac:dyDescent="0.3">
      <c r="D658" s="393"/>
      <c r="P658" s="165"/>
    </row>
    <row r="659" spans="4:16" ht="14.25" customHeight="1" x14ac:dyDescent="0.3">
      <c r="D659" s="393"/>
      <c r="P659" s="165"/>
    </row>
    <row r="660" spans="4:16" ht="14.25" customHeight="1" x14ac:dyDescent="0.3">
      <c r="D660" s="393"/>
      <c r="P660" s="165"/>
    </row>
    <row r="661" spans="4:16" ht="14.25" customHeight="1" x14ac:dyDescent="0.3">
      <c r="D661" s="393"/>
      <c r="P661" s="165"/>
    </row>
    <row r="662" spans="4:16" ht="14.25" customHeight="1" x14ac:dyDescent="0.3">
      <c r="D662" s="393"/>
      <c r="P662" s="165"/>
    </row>
    <row r="663" spans="4:16" ht="14.25" customHeight="1" x14ac:dyDescent="0.3">
      <c r="D663" s="393"/>
      <c r="P663" s="165"/>
    </row>
    <row r="664" spans="4:16" ht="14.25" customHeight="1" x14ac:dyDescent="0.3">
      <c r="D664" s="393"/>
      <c r="P664" s="165"/>
    </row>
    <row r="665" spans="4:16" ht="14.25" customHeight="1" x14ac:dyDescent="0.3">
      <c r="D665" s="393"/>
      <c r="P665" s="165"/>
    </row>
    <row r="666" spans="4:16" ht="14.25" customHeight="1" x14ac:dyDescent="0.3">
      <c r="D666" s="393"/>
      <c r="P666" s="165"/>
    </row>
    <row r="667" spans="4:16" ht="14.25" customHeight="1" x14ac:dyDescent="0.3">
      <c r="D667" s="393"/>
      <c r="P667" s="165"/>
    </row>
    <row r="668" spans="4:16" ht="14.25" customHeight="1" x14ac:dyDescent="0.3">
      <c r="D668" s="393"/>
      <c r="P668" s="165"/>
    </row>
    <row r="669" spans="4:16" ht="14.25" customHeight="1" x14ac:dyDescent="0.3">
      <c r="D669" s="393"/>
      <c r="P669" s="165"/>
    </row>
    <row r="670" spans="4:16" ht="14.25" customHeight="1" x14ac:dyDescent="0.3">
      <c r="D670" s="393"/>
      <c r="P670" s="165"/>
    </row>
    <row r="671" spans="4:16" ht="14.25" customHeight="1" x14ac:dyDescent="0.3">
      <c r="D671" s="393"/>
      <c r="P671" s="165"/>
    </row>
    <row r="672" spans="4:16" ht="14.25" customHeight="1" x14ac:dyDescent="0.3">
      <c r="D672" s="393"/>
      <c r="P672" s="165"/>
    </row>
    <row r="673" spans="4:16" ht="14.25" customHeight="1" x14ac:dyDescent="0.3">
      <c r="D673" s="393"/>
      <c r="P673" s="165"/>
    </row>
    <row r="674" spans="4:16" ht="14.25" customHeight="1" x14ac:dyDescent="0.3">
      <c r="D674" s="393"/>
      <c r="P674" s="165"/>
    </row>
    <row r="675" spans="4:16" ht="14.25" customHeight="1" x14ac:dyDescent="0.3">
      <c r="D675" s="393"/>
      <c r="P675" s="165"/>
    </row>
    <row r="676" spans="4:16" ht="14.25" customHeight="1" x14ac:dyDescent="0.3">
      <c r="D676" s="393"/>
      <c r="P676" s="165"/>
    </row>
    <row r="677" spans="4:16" ht="14.25" customHeight="1" x14ac:dyDescent="0.3">
      <c r="D677" s="393"/>
      <c r="P677" s="165"/>
    </row>
    <row r="678" spans="4:16" ht="14.25" customHeight="1" x14ac:dyDescent="0.3">
      <c r="D678" s="393"/>
      <c r="P678" s="165"/>
    </row>
    <row r="679" spans="4:16" ht="14.25" customHeight="1" x14ac:dyDescent="0.3">
      <c r="D679" s="393"/>
      <c r="P679" s="165"/>
    </row>
    <row r="680" spans="4:16" ht="14.25" customHeight="1" x14ac:dyDescent="0.3">
      <c r="D680" s="393"/>
      <c r="P680" s="165"/>
    </row>
    <row r="681" spans="4:16" ht="14.25" customHeight="1" x14ac:dyDescent="0.3">
      <c r="D681" s="393"/>
      <c r="P681" s="165"/>
    </row>
    <row r="682" spans="4:16" ht="14.25" customHeight="1" x14ac:dyDescent="0.3">
      <c r="D682" s="393"/>
      <c r="P682" s="165"/>
    </row>
    <row r="683" spans="4:16" ht="14.25" customHeight="1" x14ac:dyDescent="0.3">
      <c r="D683" s="393"/>
      <c r="P683" s="165"/>
    </row>
    <row r="684" spans="4:16" ht="14.25" customHeight="1" x14ac:dyDescent="0.3">
      <c r="D684" s="393"/>
      <c r="P684" s="165"/>
    </row>
    <row r="685" spans="4:16" ht="14.25" customHeight="1" x14ac:dyDescent="0.3">
      <c r="D685" s="393"/>
      <c r="P685" s="165"/>
    </row>
    <row r="686" spans="4:16" ht="14.25" customHeight="1" x14ac:dyDescent="0.3">
      <c r="D686" s="393"/>
      <c r="P686" s="165"/>
    </row>
    <row r="687" spans="4:16" ht="14.25" customHeight="1" x14ac:dyDescent="0.3">
      <c r="D687" s="393"/>
      <c r="P687" s="165"/>
    </row>
    <row r="688" spans="4:16" ht="14.25" customHeight="1" x14ac:dyDescent="0.3">
      <c r="D688" s="393"/>
      <c r="P688" s="165"/>
    </row>
    <row r="689" spans="4:16" ht="14.25" customHeight="1" x14ac:dyDescent="0.3">
      <c r="D689" s="393"/>
      <c r="P689" s="165"/>
    </row>
    <row r="690" spans="4:16" ht="14.25" customHeight="1" x14ac:dyDescent="0.3">
      <c r="D690" s="393"/>
      <c r="P690" s="165"/>
    </row>
    <row r="691" spans="4:16" ht="14.25" customHeight="1" x14ac:dyDescent="0.3">
      <c r="D691" s="393"/>
      <c r="P691" s="165"/>
    </row>
    <row r="692" spans="4:16" ht="14.25" customHeight="1" x14ac:dyDescent="0.3">
      <c r="D692" s="393"/>
      <c r="P692" s="165"/>
    </row>
    <row r="693" spans="4:16" ht="14.25" customHeight="1" x14ac:dyDescent="0.3">
      <c r="D693" s="393"/>
      <c r="P693" s="165"/>
    </row>
    <row r="694" spans="4:16" ht="14.25" customHeight="1" x14ac:dyDescent="0.3">
      <c r="D694" s="393"/>
      <c r="P694" s="165"/>
    </row>
    <row r="695" spans="4:16" ht="14.25" customHeight="1" x14ac:dyDescent="0.3">
      <c r="D695" s="393"/>
      <c r="P695" s="165"/>
    </row>
    <row r="696" spans="4:16" ht="14.25" customHeight="1" x14ac:dyDescent="0.3">
      <c r="D696" s="393"/>
      <c r="P696" s="165"/>
    </row>
    <row r="697" spans="4:16" ht="14.25" customHeight="1" x14ac:dyDescent="0.3">
      <c r="D697" s="393"/>
      <c r="P697" s="165"/>
    </row>
    <row r="698" spans="4:16" ht="14.25" customHeight="1" x14ac:dyDescent="0.3">
      <c r="D698" s="393"/>
      <c r="P698" s="165"/>
    </row>
    <row r="699" spans="4:16" ht="14.25" customHeight="1" x14ac:dyDescent="0.3">
      <c r="D699" s="393"/>
      <c r="P699" s="165"/>
    </row>
    <row r="700" spans="4:16" ht="14.25" customHeight="1" x14ac:dyDescent="0.3">
      <c r="D700" s="393"/>
      <c r="P700" s="165"/>
    </row>
    <row r="701" spans="4:16" ht="14.25" customHeight="1" x14ac:dyDescent="0.3">
      <c r="D701" s="393"/>
      <c r="P701" s="165"/>
    </row>
    <row r="702" spans="4:16" ht="14.25" customHeight="1" x14ac:dyDescent="0.3">
      <c r="D702" s="393"/>
      <c r="P702" s="165"/>
    </row>
    <row r="703" spans="4:16" ht="14.25" customHeight="1" x14ac:dyDescent="0.3">
      <c r="D703" s="393"/>
      <c r="P703" s="165"/>
    </row>
    <row r="704" spans="4:16" ht="14.25" customHeight="1" x14ac:dyDescent="0.3">
      <c r="D704" s="393"/>
      <c r="P704" s="165"/>
    </row>
    <row r="705" spans="4:16" ht="14.25" customHeight="1" x14ac:dyDescent="0.3">
      <c r="D705" s="393"/>
      <c r="P705" s="165"/>
    </row>
    <row r="706" spans="4:16" ht="14.25" customHeight="1" x14ac:dyDescent="0.3">
      <c r="D706" s="393"/>
      <c r="P706" s="165"/>
    </row>
    <row r="707" spans="4:16" ht="14.25" customHeight="1" x14ac:dyDescent="0.3">
      <c r="D707" s="393"/>
      <c r="P707" s="165"/>
    </row>
    <row r="708" spans="4:16" ht="14.25" customHeight="1" x14ac:dyDescent="0.3">
      <c r="D708" s="393"/>
      <c r="P708" s="165"/>
    </row>
    <row r="709" spans="4:16" ht="14.25" customHeight="1" x14ac:dyDescent="0.3">
      <c r="D709" s="393"/>
      <c r="P709" s="165"/>
    </row>
    <row r="710" spans="4:16" ht="14.25" customHeight="1" x14ac:dyDescent="0.3">
      <c r="D710" s="393"/>
      <c r="P710" s="165"/>
    </row>
    <row r="711" spans="4:16" ht="14.25" customHeight="1" x14ac:dyDescent="0.3">
      <c r="D711" s="393"/>
      <c r="P711" s="165"/>
    </row>
    <row r="712" spans="4:16" ht="14.25" customHeight="1" x14ac:dyDescent="0.3">
      <c r="D712" s="393"/>
      <c r="P712" s="165"/>
    </row>
    <row r="713" spans="4:16" ht="14.25" customHeight="1" x14ac:dyDescent="0.3">
      <c r="D713" s="393"/>
      <c r="P713" s="165"/>
    </row>
    <row r="714" spans="4:16" ht="14.25" customHeight="1" x14ac:dyDescent="0.3">
      <c r="D714" s="393"/>
      <c r="P714" s="165"/>
    </row>
    <row r="715" spans="4:16" ht="14.25" customHeight="1" x14ac:dyDescent="0.3">
      <c r="D715" s="393"/>
      <c r="P715" s="165"/>
    </row>
    <row r="716" spans="4:16" ht="14.25" customHeight="1" x14ac:dyDescent="0.3">
      <c r="D716" s="393"/>
      <c r="P716" s="165"/>
    </row>
    <row r="717" spans="4:16" ht="14.25" customHeight="1" x14ac:dyDescent="0.3">
      <c r="D717" s="393"/>
      <c r="P717" s="165"/>
    </row>
    <row r="718" spans="4:16" ht="14.25" customHeight="1" x14ac:dyDescent="0.3">
      <c r="D718" s="393"/>
      <c r="P718" s="165"/>
    </row>
    <row r="719" spans="4:16" ht="14.25" customHeight="1" x14ac:dyDescent="0.3">
      <c r="D719" s="393"/>
      <c r="P719" s="165"/>
    </row>
    <row r="720" spans="4:16" ht="14.25" customHeight="1" x14ac:dyDescent="0.3">
      <c r="D720" s="393"/>
      <c r="P720" s="165"/>
    </row>
    <row r="721" spans="4:16" ht="14.25" customHeight="1" x14ac:dyDescent="0.3">
      <c r="D721" s="393"/>
      <c r="P721" s="165"/>
    </row>
    <row r="722" spans="4:16" ht="14.25" customHeight="1" x14ac:dyDescent="0.3">
      <c r="D722" s="393"/>
      <c r="P722" s="165"/>
    </row>
    <row r="723" spans="4:16" ht="14.25" customHeight="1" x14ac:dyDescent="0.3">
      <c r="D723" s="393"/>
      <c r="P723" s="165"/>
    </row>
    <row r="724" spans="4:16" ht="14.25" customHeight="1" x14ac:dyDescent="0.3">
      <c r="D724" s="393"/>
      <c r="P724" s="165"/>
    </row>
    <row r="725" spans="4:16" ht="14.25" customHeight="1" x14ac:dyDescent="0.3">
      <c r="D725" s="393"/>
      <c r="P725" s="165"/>
    </row>
    <row r="726" spans="4:16" ht="14.25" customHeight="1" x14ac:dyDescent="0.3">
      <c r="D726" s="393"/>
      <c r="P726" s="165"/>
    </row>
    <row r="727" spans="4:16" ht="14.25" customHeight="1" x14ac:dyDescent="0.3">
      <c r="D727" s="393"/>
      <c r="P727" s="165"/>
    </row>
    <row r="728" spans="4:16" ht="14.25" customHeight="1" x14ac:dyDescent="0.3">
      <c r="D728" s="393"/>
      <c r="P728" s="165"/>
    </row>
    <row r="729" spans="4:16" ht="14.25" customHeight="1" x14ac:dyDescent="0.3">
      <c r="D729" s="393"/>
      <c r="P729" s="165"/>
    </row>
    <row r="730" spans="4:16" ht="14.25" customHeight="1" x14ac:dyDescent="0.3">
      <c r="D730" s="393"/>
      <c r="P730" s="165"/>
    </row>
    <row r="731" spans="4:16" ht="14.25" customHeight="1" x14ac:dyDescent="0.3">
      <c r="D731" s="393"/>
      <c r="P731" s="165"/>
    </row>
    <row r="732" spans="4:16" ht="14.25" customHeight="1" x14ac:dyDescent="0.3">
      <c r="D732" s="393"/>
      <c r="P732" s="165"/>
    </row>
    <row r="733" spans="4:16" ht="14.25" customHeight="1" x14ac:dyDescent="0.3">
      <c r="D733" s="393"/>
      <c r="P733" s="165"/>
    </row>
    <row r="734" spans="4:16" ht="14.25" customHeight="1" x14ac:dyDescent="0.3">
      <c r="D734" s="393"/>
      <c r="P734" s="165"/>
    </row>
    <row r="735" spans="4:16" ht="14.25" customHeight="1" x14ac:dyDescent="0.3">
      <c r="D735" s="393"/>
      <c r="P735" s="165"/>
    </row>
    <row r="736" spans="4:16" ht="14.25" customHeight="1" x14ac:dyDescent="0.3">
      <c r="D736" s="393"/>
      <c r="P736" s="165"/>
    </row>
    <row r="737" spans="4:16" ht="14.25" customHeight="1" x14ac:dyDescent="0.3">
      <c r="D737" s="393"/>
      <c r="P737" s="165"/>
    </row>
    <row r="738" spans="4:16" ht="14.25" customHeight="1" x14ac:dyDescent="0.3">
      <c r="D738" s="393"/>
      <c r="P738" s="165"/>
    </row>
    <row r="739" spans="4:16" ht="14.25" customHeight="1" x14ac:dyDescent="0.3">
      <c r="D739" s="393"/>
      <c r="P739" s="165"/>
    </row>
    <row r="740" spans="4:16" ht="14.25" customHeight="1" x14ac:dyDescent="0.3">
      <c r="D740" s="393"/>
      <c r="P740" s="165"/>
    </row>
    <row r="741" spans="4:16" ht="14.25" customHeight="1" x14ac:dyDescent="0.3">
      <c r="D741" s="393"/>
      <c r="P741" s="165"/>
    </row>
    <row r="742" spans="4:16" ht="14.25" customHeight="1" x14ac:dyDescent="0.3">
      <c r="D742" s="393"/>
      <c r="P742" s="165"/>
    </row>
    <row r="743" spans="4:16" ht="14.25" customHeight="1" x14ac:dyDescent="0.3">
      <c r="D743" s="393"/>
      <c r="P743" s="165"/>
    </row>
    <row r="744" spans="4:16" ht="14.25" customHeight="1" x14ac:dyDescent="0.3">
      <c r="D744" s="393"/>
      <c r="P744" s="165"/>
    </row>
    <row r="745" spans="4:16" ht="14.25" customHeight="1" x14ac:dyDescent="0.3">
      <c r="D745" s="393"/>
      <c r="P745" s="165"/>
    </row>
    <row r="746" spans="4:16" ht="14.25" customHeight="1" x14ac:dyDescent="0.3">
      <c r="D746" s="393"/>
      <c r="P746" s="165"/>
    </row>
    <row r="747" spans="4:16" ht="14.25" customHeight="1" x14ac:dyDescent="0.3">
      <c r="D747" s="393"/>
      <c r="P747" s="165"/>
    </row>
    <row r="748" spans="4:16" ht="14.25" customHeight="1" x14ac:dyDescent="0.3">
      <c r="D748" s="393"/>
      <c r="P748" s="165"/>
    </row>
    <row r="749" spans="4:16" ht="14.25" customHeight="1" x14ac:dyDescent="0.3">
      <c r="D749" s="393"/>
      <c r="P749" s="165"/>
    </row>
    <row r="750" spans="4:16" ht="14.25" customHeight="1" x14ac:dyDescent="0.3">
      <c r="D750" s="393"/>
      <c r="P750" s="165"/>
    </row>
    <row r="751" spans="4:16" ht="14.25" customHeight="1" x14ac:dyDescent="0.3">
      <c r="D751" s="393"/>
      <c r="P751" s="165"/>
    </row>
    <row r="752" spans="4:16" ht="14.25" customHeight="1" x14ac:dyDescent="0.3">
      <c r="D752" s="393"/>
      <c r="P752" s="165"/>
    </row>
    <row r="753" spans="4:16" ht="14.25" customHeight="1" x14ac:dyDescent="0.3">
      <c r="D753" s="393"/>
      <c r="P753" s="165"/>
    </row>
    <row r="754" spans="4:16" ht="14.25" customHeight="1" x14ac:dyDescent="0.3">
      <c r="D754" s="393"/>
      <c r="P754" s="165"/>
    </row>
    <row r="755" spans="4:16" ht="14.25" customHeight="1" x14ac:dyDescent="0.3">
      <c r="D755" s="393"/>
      <c r="P755" s="165"/>
    </row>
    <row r="756" spans="4:16" ht="14.25" customHeight="1" x14ac:dyDescent="0.3">
      <c r="D756" s="393"/>
      <c r="P756" s="165"/>
    </row>
    <row r="757" spans="4:16" ht="14.25" customHeight="1" x14ac:dyDescent="0.3">
      <c r="D757" s="393"/>
      <c r="P757" s="165"/>
    </row>
    <row r="758" spans="4:16" ht="14.25" customHeight="1" x14ac:dyDescent="0.3">
      <c r="D758" s="393"/>
      <c r="P758" s="165"/>
    </row>
    <row r="759" spans="4:16" ht="14.25" customHeight="1" x14ac:dyDescent="0.3">
      <c r="D759" s="393"/>
      <c r="P759" s="165"/>
    </row>
    <row r="760" spans="4:16" ht="14.25" customHeight="1" x14ac:dyDescent="0.3">
      <c r="D760" s="393"/>
      <c r="P760" s="165"/>
    </row>
    <row r="761" spans="4:16" ht="14.25" customHeight="1" x14ac:dyDescent="0.3">
      <c r="D761" s="393"/>
      <c r="P761" s="165"/>
    </row>
    <row r="762" spans="4:16" ht="14.25" customHeight="1" x14ac:dyDescent="0.3">
      <c r="D762" s="393"/>
      <c r="P762" s="165"/>
    </row>
    <row r="763" spans="4:16" ht="14.25" customHeight="1" x14ac:dyDescent="0.3">
      <c r="D763" s="393"/>
      <c r="P763" s="165"/>
    </row>
    <row r="764" spans="4:16" ht="14.25" customHeight="1" x14ac:dyDescent="0.3">
      <c r="D764" s="393"/>
      <c r="P764" s="165"/>
    </row>
    <row r="765" spans="4:16" ht="14.25" customHeight="1" x14ac:dyDescent="0.3">
      <c r="D765" s="393"/>
      <c r="P765" s="165"/>
    </row>
    <row r="766" spans="4:16" ht="14.25" customHeight="1" x14ac:dyDescent="0.3">
      <c r="D766" s="393"/>
      <c r="P766" s="165"/>
    </row>
    <row r="767" spans="4:16" ht="14.25" customHeight="1" x14ac:dyDescent="0.3">
      <c r="D767" s="393"/>
      <c r="P767" s="165"/>
    </row>
    <row r="768" spans="4:16" ht="14.25" customHeight="1" x14ac:dyDescent="0.3">
      <c r="D768" s="393"/>
      <c r="P768" s="165"/>
    </row>
    <row r="769" spans="4:16" ht="14.25" customHeight="1" x14ac:dyDescent="0.3">
      <c r="D769" s="393"/>
      <c r="P769" s="165"/>
    </row>
    <row r="770" spans="4:16" ht="14.25" customHeight="1" x14ac:dyDescent="0.3">
      <c r="D770" s="393"/>
      <c r="P770" s="165"/>
    </row>
    <row r="771" spans="4:16" ht="14.25" customHeight="1" x14ac:dyDescent="0.3">
      <c r="D771" s="393"/>
      <c r="P771" s="165"/>
    </row>
    <row r="772" spans="4:16" ht="14.25" customHeight="1" x14ac:dyDescent="0.3">
      <c r="D772" s="393"/>
      <c r="P772" s="165"/>
    </row>
    <row r="773" spans="4:16" ht="14.25" customHeight="1" x14ac:dyDescent="0.3">
      <c r="D773" s="393"/>
      <c r="P773" s="165"/>
    </row>
    <row r="774" spans="4:16" ht="14.25" customHeight="1" x14ac:dyDescent="0.3">
      <c r="D774" s="393"/>
      <c r="P774" s="165"/>
    </row>
    <row r="775" spans="4:16" ht="14.25" customHeight="1" x14ac:dyDescent="0.3">
      <c r="D775" s="393"/>
      <c r="P775" s="165"/>
    </row>
    <row r="776" spans="4:16" ht="14.25" customHeight="1" x14ac:dyDescent="0.3">
      <c r="D776" s="393"/>
      <c r="P776" s="165"/>
    </row>
    <row r="777" spans="4:16" ht="14.25" customHeight="1" x14ac:dyDescent="0.3">
      <c r="D777" s="393"/>
      <c r="P777" s="165"/>
    </row>
    <row r="778" spans="4:16" ht="14.25" customHeight="1" x14ac:dyDescent="0.3">
      <c r="D778" s="393"/>
      <c r="P778" s="165"/>
    </row>
    <row r="779" spans="4:16" ht="14.25" customHeight="1" x14ac:dyDescent="0.3">
      <c r="D779" s="393"/>
      <c r="P779" s="165"/>
    </row>
    <row r="780" spans="4:16" ht="14.25" customHeight="1" x14ac:dyDescent="0.3">
      <c r="D780" s="393"/>
      <c r="P780" s="165"/>
    </row>
    <row r="781" spans="4:16" ht="14.25" customHeight="1" x14ac:dyDescent="0.3">
      <c r="D781" s="393"/>
      <c r="P781" s="165"/>
    </row>
    <row r="782" spans="4:16" ht="14.25" customHeight="1" x14ac:dyDescent="0.3">
      <c r="D782" s="393"/>
      <c r="P782" s="165"/>
    </row>
    <row r="783" spans="4:16" ht="14.25" customHeight="1" x14ac:dyDescent="0.3">
      <c r="D783" s="393"/>
      <c r="P783" s="165"/>
    </row>
    <row r="784" spans="4:16" ht="14.25" customHeight="1" x14ac:dyDescent="0.3">
      <c r="D784" s="393"/>
      <c r="P784" s="165"/>
    </row>
    <row r="785" spans="4:16" ht="14.25" customHeight="1" x14ac:dyDescent="0.3">
      <c r="D785" s="393"/>
      <c r="P785" s="165"/>
    </row>
    <row r="786" spans="4:16" ht="14.25" customHeight="1" x14ac:dyDescent="0.3">
      <c r="D786" s="393"/>
      <c r="P786" s="165"/>
    </row>
    <row r="787" spans="4:16" ht="14.25" customHeight="1" x14ac:dyDescent="0.3">
      <c r="D787" s="393"/>
      <c r="P787" s="165"/>
    </row>
    <row r="788" spans="4:16" ht="14.25" customHeight="1" x14ac:dyDescent="0.3">
      <c r="D788" s="393"/>
      <c r="P788" s="165"/>
    </row>
    <row r="789" spans="4:16" ht="14.25" customHeight="1" x14ac:dyDescent="0.3">
      <c r="D789" s="393"/>
      <c r="P789" s="165"/>
    </row>
    <row r="790" spans="4:16" ht="14.25" customHeight="1" x14ac:dyDescent="0.3">
      <c r="D790" s="393"/>
      <c r="P790" s="165"/>
    </row>
    <row r="791" spans="4:16" ht="14.25" customHeight="1" x14ac:dyDescent="0.3">
      <c r="D791" s="393"/>
      <c r="P791" s="165"/>
    </row>
    <row r="792" spans="4:16" ht="14.25" customHeight="1" x14ac:dyDescent="0.3">
      <c r="D792" s="393"/>
      <c r="P792" s="165"/>
    </row>
    <row r="793" spans="4:16" ht="14.25" customHeight="1" x14ac:dyDescent="0.3">
      <c r="D793" s="393"/>
      <c r="P793" s="165"/>
    </row>
    <row r="794" spans="4:16" ht="14.25" customHeight="1" x14ac:dyDescent="0.3">
      <c r="D794" s="393"/>
      <c r="P794" s="165"/>
    </row>
    <row r="795" spans="4:16" ht="14.25" customHeight="1" x14ac:dyDescent="0.3">
      <c r="D795" s="393"/>
      <c r="P795" s="165"/>
    </row>
    <row r="796" spans="4:16" ht="14.25" customHeight="1" x14ac:dyDescent="0.3">
      <c r="D796" s="393"/>
      <c r="P796" s="165"/>
    </row>
    <row r="797" spans="4:16" ht="14.25" customHeight="1" x14ac:dyDescent="0.3">
      <c r="D797" s="393"/>
      <c r="P797" s="165"/>
    </row>
    <row r="798" spans="4:16" ht="14.25" customHeight="1" x14ac:dyDescent="0.3">
      <c r="D798" s="393"/>
      <c r="P798" s="165"/>
    </row>
    <row r="799" spans="4:16" ht="14.25" customHeight="1" x14ac:dyDescent="0.3">
      <c r="D799" s="393"/>
      <c r="P799" s="165"/>
    </row>
    <row r="800" spans="4:16" ht="14.25" customHeight="1" x14ac:dyDescent="0.3">
      <c r="D800" s="393"/>
      <c r="P800" s="165"/>
    </row>
    <row r="801" spans="4:16" ht="14.25" customHeight="1" x14ac:dyDescent="0.3">
      <c r="D801" s="393"/>
      <c r="P801" s="165"/>
    </row>
    <row r="802" spans="4:16" ht="14.25" customHeight="1" x14ac:dyDescent="0.3">
      <c r="D802" s="393"/>
      <c r="P802" s="165"/>
    </row>
    <row r="803" spans="4:16" ht="14.25" customHeight="1" x14ac:dyDescent="0.3">
      <c r="D803" s="393"/>
      <c r="P803" s="165"/>
    </row>
    <row r="804" spans="4:16" ht="14.25" customHeight="1" x14ac:dyDescent="0.3">
      <c r="D804" s="393"/>
      <c r="P804" s="165"/>
    </row>
    <row r="805" spans="4:16" ht="14.25" customHeight="1" x14ac:dyDescent="0.3">
      <c r="D805" s="393"/>
      <c r="P805" s="165"/>
    </row>
    <row r="806" spans="4:16" ht="14.25" customHeight="1" x14ac:dyDescent="0.3">
      <c r="D806" s="393"/>
      <c r="P806" s="165"/>
    </row>
    <row r="807" spans="4:16" ht="14.25" customHeight="1" x14ac:dyDescent="0.3">
      <c r="D807" s="393"/>
      <c r="P807" s="165"/>
    </row>
    <row r="808" spans="4:16" ht="14.25" customHeight="1" x14ac:dyDescent="0.3">
      <c r="D808" s="393"/>
      <c r="P808" s="165"/>
    </row>
    <row r="809" spans="4:16" ht="14.25" customHeight="1" x14ac:dyDescent="0.3">
      <c r="D809" s="393"/>
      <c r="P809" s="165"/>
    </row>
    <row r="810" spans="4:16" ht="14.25" customHeight="1" x14ac:dyDescent="0.3">
      <c r="D810" s="393"/>
      <c r="P810" s="165"/>
    </row>
    <row r="811" spans="4:16" ht="14.25" customHeight="1" x14ac:dyDescent="0.3">
      <c r="D811" s="393"/>
      <c r="P811" s="165"/>
    </row>
    <row r="812" spans="4:16" ht="14.25" customHeight="1" x14ac:dyDescent="0.3">
      <c r="D812" s="393"/>
      <c r="P812" s="165"/>
    </row>
    <row r="813" spans="4:16" ht="14.25" customHeight="1" x14ac:dyDescent="0.3">
      <c r="D813" s="393"/>
      <c r="P813" s="165"/>
    </row>
    <row r="814" spans="4:16" ht="14.25" customHeight="1" x14ac:dyDescent="0.3">
      <c r="D814" s="393"/>
      <c r="P814" s="165"/>
    </row>
    <row r="815" spans="4:16" ht="14.25" customHeight="1" x14ac:dyDescent="0.3">
      <c r="D815" s="393"/>
      <c r="P815" s="165"/>
    </row>
    <row r="816" spans="4:16" ht="14.25" customHeight="1" x14ac:dyDescent="0.3">
      <c r="D816" s="393"/>
      <c r="P816" s="165"/>
    </row>
    <row r="817" spans="4:16" ht="14.25" customHeight="1" x14ac:dyDescent="0.3">
      <c r="D817" s="393"/>
      <c r="P817" s="165"/>
    </row>
    <row r="818" spans="4:16" ht="14.25" customHeight="1" x14ac:dyDescent="0.3">
      <c r="D818" s="393"/>
      <c r="P818" s="165"/>
    </row>
    <row r="819" spans="4:16" ht="14.25" customHeight="1" x14ac:dyDescent="0.3">
      <c r="D819" s="393"/>
      <c r="P819" s="165"/>
    </row>
    <row r="820" spans="4:16" ht="14.25" customHeight="1" x14ac:dyDescent="0.3">
      <c r="D820" s="393"/>
      <c r="P820" s="165"/>
    </row>
    <row r="821" spans="4:16" ht="14.25" customHeight="1" x14ac:dyDescent="0.3">
      <c r="D821" s="393"/>
      <c r="P821" s="165"/>
    </row>
    <row r="822" spans="4:16" ht="14.25" customHeight="1" x14ac:dyDescent="0.3">
      <c r="D822" s="393"/>
      <c r="P822" s="165"/>
    </row>
    <row r="823" spans="4:16" ht="14.25" customHeight="1" x14ac:dyDescent="0.3">
      <c r="D823" s="393"/>
      <c r="P823" s="165"/>
    </row>
    <row r="824" spans="4:16" ht="14.25" customHeight="1" x14ac:dyDescent="0.3">
      <c r="D824" s="393"/>
      <c r="P824" s="165"/>
    </row>
    <row r="825" spans="4:16" ht="14.25" customHeight="1" x14ac:dyDescent="0.3">
      <c r="D825" s="393"/>
      <c r="P825" s="165"/>
    </row>
    <row r="826" spans="4:16" ht="14.25" customHeight="1" x14ac:dyDescent="0.3">
      <c r="D826" s="393"/>
      <c r="P826" s="165"/>
    </row>
    <row r="827" spans="4:16" ht="14.25" customHeight="1" x14ac:dyDescent="0.3">
      <c r="D827" s="393"/>
      <c r="P827" s="165"/>
    </row>
    <row r="828" spans="4:16" ht="14.25" customHeight="1" x14ac:dyDescent="0.3">
      <c r="D828" s="393"/>
      <c r="P828" s="165"/>
    </row>
    <row r="829" spans="4:16" ht="14.25" customHeight="1" x14ac:dyDescent="0.3">
      <c r="D829" s="393"/>
      <c r="P829" s="165"/>
    </row>
    <row r="830" spans="4:16" ht="14.25" customHeight="1" x14ac:dyDescent="0.3">
      <c r="D830" s="393"/>
      <c r="P830" s="165"/>
    </row>
    <row r="831" spans="4:16" ht="14.25" customHeight="1" x14ac:dyDescent="0.3">
      <c r="D831" s="393"/>
      <c r="P831" s="165"/>
    </row>
    <row r="832" spans="4:16" ht="14.25" customHeight="1" x14ac:dyDescent="0.3">
      <c r="D832" s="393"/>
      <c r="P832" s="165"/>
    </row>
    <row r="833" spans="4:16" ht="14.25" customHeight="1" x14ac:dyDescent="0.3">
      <c r="D833" s="393"/>
      <c r="P833" s="165"/>
    </row>
    <row r="834" spans="4:16" ht="14.25" customHeight="1" x14ac:dyDescent="0.3">
      <c r="D834" s="393"/>
      <c r="P834" s="165"/>
    </row>
    <row r="835" spans="4:16" ht="14.25" customHeight="1" x14ac:dyDescent="0.3">
      <c r="D835" s="393"/>
      <c r="P835" s="165"/>
    </row>
    <row r="836" spans="4:16" ht="14.25" customHeight="1" x14ac:dyDescent="0.3">
      <c r="D836" s="393"/>
      <c r="P836" s="165"/>
    </row>
    <row r="837" spans="4:16" ht="14.25" customHeight="1" x14ac:dyDescent="0.3">
      <c r="D837" s="393"/>
      <c r="P837" s="165"/>
    </row>
    <row r="838" spans="4:16" ht="14.25" customHeight="1" x14ac:dyDescent="0.3">
      <c r="D838" s="393"/>
      <c r="P838" s="165"/>
    </row>
    <row r="839" spans="4:16" ht="14.25" customHeight="1" x14ac:dyDescent="0.3">
      <c r="D839" s="393"/>
      <c r="P839" s="165"/>
    </row>
    <row r="840" spans="4:16" ht="14.25" customHeight="1" x14ac:dyDescent="0.3">
      <c r="D840" s="393"/>
      <c r="P840" s="165"/>
    </row>
    <row r="841" spans="4:16" ht="14.25" customHeight="1" x14ac:dyDescent="0.3">
      <c r="D841" s="393"/>
      <c r="P841" s="165"/>
    </row>
    <row r="842" spans="4:16" ht="14.25" customHeight="1" x14ac:dyDescent="0.3">
      <c r="D842" s="393"/>
      <c r="P842" s="165"/>
    </row>
    <row r="843" spans="4:16" ht="14.25" customHeight="1" x14ac:dyDescent="0.3">
      <c r="D843" s="393"/>
      <c r="P843" s="165"/>
    </row>
    <row r="844" spans="4:16" ht="14.25" customHeight="1" x14ac:dyDescent="0.3">
      <c r="D844" s="393"/>
      <c r="P844" s="165"/>
    </row>
    <row r="845" spans="4:16" ht="14.25" customHeight="1" x14ac:dyDescent="0.3">
      <c r="D845" s="393"/>
      <c r="P845" s="165"/>
    </row>
    <row r="846" spans="4:16" ht="14.25" customHeight="1" x14ac:dyDescent="0.3">
      <c r="D846" s="393"/>
      <c r="P846" s="165"/>
    </row>
    <row r="847" spans="4:16" ht="14.25" customHeight="1" x14ac:dyDescent="0.3">
      <c r="D847" s="393"/>
      <c r="P847" s="165"/>
    </row>
    <row r="848" spans="4:16" ht="14.25" customHeight="1" x14ac:dyDescent="0.3">
      <c r="D848" s="393"/>
      <c r="P848" s="165"/>
    </row>
    <row r="849" spans="4:16" ht="14.25" customHeight="1" x14ac:dyDescent="0.3">
      <c r="D849" s="393"/>
      <c r="P849" s="165"/>
    </row>
    <row r="850" spans="4:16" ht="14.25" customHeight="1" x14ac:dyDescent="0.3">
      <c r="D850" s="393"/>
      <c r="P850" s="165"/>
    </row>
    <row r="851" spans="4:16" ht="14.25" customHeight="1" x14ac:dyDescent="0.3">
      <c r="D851" s="393"/>
      <c r="P851" s="165"/>
    </row>
    <row r="852" spans="4:16" ht="14.25" customHeight="1" x14ac:dyDescent="0.3">
      <c r="D852" s="393"/>
      <c r="P852" s="165"/>
    </row>
    <row r="853" spans="4:16" ht="14.25" customHeight="1" x14ac:dyDescent="0.3">
      <c r="D853" s="393"/>
      <c r="P853" s="165"/>
    </row>
    <row r="854" spans="4:16" ht="14.25" customHeight="1" x14ac:dyDescent="0.3">
      <c r="D854" s="393"/>
      <c r="P854" s="165"/>
    </row>
    <row r="855" spans="4:16" ht="14.25" customHeight="1" x14ac:dyDescent="0.3">
      <c r="D855" s="393"/>
      <c r="P855" s="165"/>
    </row>
    <row r="856" spans="4:16" ht="14.25" customHeight="1" x14ac:dyDescent="0.3">
      <c r="D856" s="393"/>
      <c r="P856" s="165"/>
    </row>
    <row r="857" spans="4:16" ht="14.25" customHeight="1" x14ac:dyDescent="0.3">
      <c r="D857" s="393"/>
      <c r="P857" s="165"/>
    </row>
    <row r="858" spans="4:16" ht="14.25" customHeight="1" x14ac:dyDescent="0.3">
      <c r="D858" s="393"/>
      <c r="P858" s="165"/>
    </row>
    <row r="859" spans="4:16" ht="14.25" customHeight="1" x14ac:dyDescent="0.3">
      <c r="D859" s="393"/>
      <c r="P859" s="165"/>
    </row>
    <row r="860" spans="4:16" ht="14.25" customHeight="1" x14ac:dyDescent="0.3">
      <c r="D860" s="393"/>
      <c r="P860" s="165"/>
    </row>
    <row r="861" spans="4:16" ht="14.25" customHeight="1" x14ac:dyDescent="0.3">
      <c r="D861" s="393"/>
      <c r="P861" s="165"/>
    </row>
    <row r="862" spans="4:16" ht="14.25" customHeight="1" x14ac:dyDescent="0.3">
      <c r="D862" s="393"/>
      <c r="P862" s="165"/>
    </row>
    <row r="863" spans="4:16" ht="14.25" customHeight="1" x14ac:dyDescent="0.3">
      <c r="D863" s="393"/>
      <c r="P863" s="165"/>
    </row>
    <row r="864" spans="4:16" ht="14.25" customHeight="1" x14ac:dyDescent="0.3">
      <c r="D864" s="393"/>
      <c r="P864" s="165"/>
    </row>
    <row r="865" spans="4:16" ht="14.25" customHeight="1" x14ac:dyDescent="0.3">
      <c r="D865" s="393"/>
      <c r="P865" s="165"/>
    </row>
    <row r="866" spans="4:16" ht="14.25" customHeight="1" x14ac:dyDescent="0.3">
      <c r="D866" s="393"/>
      <c r="P866" s="165"/>
    </row>
    <row r="867" spans="4:16" ht="14.25" customHeight="1" x14ac:dyDescent="0.3">
      <c r="D867" s="393"/>
      <c r="P867" s="165"/>
    </row>
    <row r="868" spans="4:16" ht="14.25" customHeight="1" x14ac:dyDescent="0.3">
      <c r="D868" s="393"/>
      <c r="P868" s="165"/>
    </row>
    <row r="869" spans="4:16" ht="14.25" customHeight="1" x14ac:dyDescent="0.3">
      <c r="D869" s="393"/>
      <c r="P869" s="165"/>
    </row>
    <row r="870" spans="4:16" ht="14.25" customHeight="1" x14ac:dyDescent="0.3">
      <c r="D870" s="393"/>
      <c r="P870" s="165"/>
    </row>
    <row r="871" spans="4:16" ht="14.25" customHeight="1" x14ac:dyDescent="0.3">
      <c r="D871" s="393"/>
      <c r="P871" s="165"/>
    </row>
    <row r="872" spans="4:16" ht="14.25" customHeight="1" x14ac:dyDescent="0.3">
      <c r="D872" s="393"/>
      <c r="P872" s="165"/>
    </row>
    <row r="873" spans="4:16" ht="14.25" customHeight="1" x14ac:dyDescent="0.3">
      <c r="D873" s="393"/>
      <c r="P873" s="165"/>
    </row>
    <row r="874" spans="4:16" ht="14.25" customHeight="1" x14ac:dyDescent="0.3">
      <c r="D874" s="393"/>
      <c r="P874" s="165"/>
    </row>
    <row r="875" spans="4:16" ht="14.25" customHeight="1" x14ac:dyDescent="0.3">
      <c r="D875" s="393"/>
      <c r="P875" s="165"/>
    </row>
    <row r="876" spans="4:16" ht="14.25" customHeight="1" x14ac:dyDescent="0.3">
      <c r="D876" s="393"/>
      <c r="P876" s="165"/>
    </row>
    <row r="877" spans="4:16" ht="14.25" customHeight="1" x14ac:dyDescent="0.3">
      <c r="D877" s="393"/>
      <c r="P877" s="165"/>
    </row>
    <row r="878" spans="4:16" ht="14.25" customHeight="1" x14ac:dyDescent="0.3">
      <c r="D878" s="393"/>
      <c r="P878" s="165"/>
    </row>
    <row r="879" spans="4:16" ht="14.25" customHeight="1" x14ac:dyDescent="0.3">
      <c r="D879" s="393"/>
      <c r="P879" s="165"/>
    </row>
    <row r="880" spans="4:16" ht="14.25" customHeight="1" x14ac:dyDescent="0.3">
      <c r="D880" s="393"/>
      <c r="P880" s="165"/>
    </row>
    <row r="881" spans="4:16" ht="14.25" customHeight="1" x14ac:dyDescent="0.3">
      <c r="D881" s="393"/>
      <c r="P881" s="165"/>
    </row>
    <row r="882" spans="4:16" ht="14.25" customHeight="1" x14ac:dyDescent="0.3">
      <c r="D882" s="393"/>
      <c r="P882" s="165"/>
    </row>
    <row r="883" spans="4:16" ht="14.25" customHeight="1" x14ac:dyDescent="0.3">
      <c r="D883" s="393"/>
      <c r="P883" s="165"/>
    </row>
    <row r="884" spans="4:16" ht="14.25" customHeight="1" x14ac:dyDescent="0.3">
      <c r="D884" s="393"/>
      <c r="P884" s="165"/>
    </row>
    <row r="885" spans="4:16" ht="14.25" customHeight="1" x14ac:dyDescent="0.3">
      <c r="D885" s="393"/>
      <c r="P885" s="165"/>
    </row>
    <row r="886" spans="4:16" ht="14.25" customHeight="1" x14ac:dyDescent="0.3">
      <c r="D886" s="393"/>
      <c r="P886" s="165"/>
    </row>
    <row r="887" spans="4:16" ht="14.25" customHeight="1" x14ac:dyDescent="0.3">
      <c r="D887" s="393"/>
      <c r="P887" s="165"/>
    </row>
    <row r="888" spans="4:16" ht="14.25" customHeight="1" x14ac:dyDescent="0.3">
      <c r="D888" s="393"/>
      <c r="P888" s="165"/>
    </row>
    <row r="889" spans="4:16" ht="14.25" customHeight="1" x14ac:dyDescent="0.3">
      <c r="D889" s="393"/>
      <c r="P889" s="165"/>
    </row>
    <row r="890" spans="4:16" ht="14.25" customHeight="1" x14ac:dyDescent="0.3">
      <c r="D890" s="393"/>
      <c r="P890" s="165"/>
    </row>
    <row r="891" spans="4:16" ht="14.25" customHeight="1" x14ac:dyDescent="0.3">
      <c r="D891" s="393"/>
      <c r="P891" s="165"/>
    </row>
    <row r="892" spans="4:16" ht="14.25" customHeight="1" x14ac:dyDescent="0.3">
      <c r="D892" s="393"/>
      <c r="P892" s="165"/>
    </row>
    <row r="893" spans="4:16" ht="14.25" customHeight="1" x14ac:dyDescent="0.3">
      <c r="D893" s="393"/>
      <c r="P893" s="165"/>
    </row>
    <row r="894" spans="4:16" ht="14.25" customHeight="1" x14ac:dyDescent="0.3">
      <c r="D894" s="393"/>
      <c r="P894" s="165"/>
    </row>
    <row r="895" spans="4:16" ht="14.25" customHeight="1" x14ac:dyDescent="0.3">
      <c r="D895" s="393"/>
      <c r="P895" s="165"/>
    </row>
    <row r="896" spans="4:16" ht="14.25" customHeight="1" x14ac:dyDescent="0.3">
      <c r="D896" s="393"/>
      <c r="P896" s="165"/>
    </row>
    <row r="897" spans="4:16" ht="14.25" customHeight="1" x14ac:dyDescent="0.3">
      <c r="D897" s="393"/>
      <c r="P897" s="165"/>
    </row>
    <row r="898" spans="4:16" ht="14.25" customHeight="1" x14ac:dyDescent="0.3">
      <c r="D898" s="393"/>
      <c r="P898" s="165"/>
    </row>
    <row r="899" spans="4:16" ht="14.25" customHeight="1" x14ac:dyDescent="0.3">
      <c r="D899" s="393"/>
      <c r="P899" s="165"/>
    </row>
    <row r="900" spans="4:16" ht="14.25" customHeight="1" x14ac:dyDescent="0.3">
      <c r="D900" s="393"/>
      <c r="P900" s="165"/>
    </row>
    <row r="901" spans="4:16" ht="14.25" customHeight="1" x14ac:dyDescent="0.3">
      <c r="D901" s="393"/>
      <c r="P901" s="165"/>
    </row>
    <row r="902" spans="4:16" ht="14.25" customHeight="1" x14ac:dyDescent="0.3">
      <c r="D902" s="393"/>
      <c r="P902" s="165"/>
    </row>
    <row r="903" spans="4:16" ht="14.25" customHeight="1" x14ac:dyDescent="0.3">
      <c r="D903" s="393"/>
      <c r="P903" s="165"/>
    </row>
    <row r="904" spans="4:16" ht="14.25" customHeight="1" x14ac:dyDescent="0.3">
      <c r="D904" s="393"/>
      <c r="P904" s="165"/>
    </row>
    <row r="905" spans="4:16" ht="14.25" customHeight="1" x14ac:dyDescent="0.3">
      <c r="D905" s="393"/>
      <c r="P905" s="165"/>
    </row>
    <row r="906" spans="4:16" ht="14.25" customHeight="1" x14ac:dyDescent="0.3">
      <c r="D906" s="393"/>
      <c r="P906" s="165"/>
    </row>
    <row r="907" spans="4:16" ht="14.25" customHeight="1" x14ac:dyDescent="0.3">
      <c r="D907" s="393"/>
      <c r="P907" s="165"/>
    </row>
    <row r="908" spans="4:16" ht="14.25" customHeight="1" x14ac:dyDescent="0.3">
      <c r="D908" s="393"/>
      <c r="P908" s="165"/>
    </row>
    <row r="909" spans="4:16" ht="14.25" customHeight="1" x14ac:dyDescent="0.3">
      <c r="D909" s="393"/>
      <c r="P909" s="165"/>
    </row>
    <row r="910" spans="4:16" ht="14.25" customHeight="1" x14ac:dyDescent="0.3">
      <c r="D910" s="393"/>
      <c r="P910" s="165"/>
    </row>
    <row r="911" spans="4:16" ht="14.25" customHeight="1" x14ac:dyDescent="0.3">
      <c r="D911" s="393"/>
      <c r="P911" s="165"/>
    </row>
    <row r="912" spans="4:16" ht="14.25" customHeight="1" x14ac:dyDescent="0.3">
      <c r="D912" s="393"/>
      <c r="P912" s="165"/>
    </row>
    <row r="913" spans="4:16" ht="14.25" customHeight="1" x14ac:dyDescent="0.3">
      <c r="D913" s="393"/>
      <c r="P913" s="165"/>
    </row>
    <row r="914" spans="4:16" ht="14.25" customHeight="1" x14ac:dyDescent="0.3">
      <c r="D914" s="393"/>
      <c r="P914" s="165"/>
    </row>
    <row r="915" spans="4:16" ht="14.25" customHeight="1" x14ac:dyDescent="0.3">
      <c r="D915" s="393"/>
      <c r="P915" s="165"/>
    </row>
    <row r="916" spans="4:16" ht="14.25" customHeight="1" x14ac:dyDescent="0.3">
      <c r="D916" s="393"/>
      <c r="P916" s="165"/>
    </row>
    <row r="917" spans="4:16" ht="14.25" customHeight="1" x14ac:dyDescent="0.3">
      <c r="D917" s="393"/>
      <c r="P917" s="165"/>
    </row>
    <row r="918" spans="4:16" ht="14.25" customHeight="1" x14ac:dyDescent="0.3">
      <c r="D918" s="393"/>
      <c r="P918" s="165"/>
    </row>
    <row r="919" spans="4:16" ht="14.25" customHeight="1" x14ac:dyDescent="0.3">
      <c r="D919" s="393"/>
      <c r="P919" s="165"/>
    </row>
    <row r="920" spans="4:16" ht="14.25" customHeight="1" x14ac:dyDescent="0.3">
      <c r="D920" s="393"/>
      <c r="P920" s="165"/>
    </row>
    <row r="921" spans="4:16" ht="14.25" customHeight="1" x14ac:dyDescent="0.3">
      <c r="D921" s="393"/>
      <c r="P921" s="165"/>
    </row>
    <row r="922" spans="4:16" ht="14.25" customHeight="1" x14ac:dyDescent="0.3">
      <c r="D922" s="393"/>
      <c r="P922" s="165"/>
    </row>
    <row r="923" spans="4:16" ht="14.25" customHeight="1" x14ac:dyDescent="0.3">
      <c r="D923" s="393"/>
      <c r="P923" s="165"/>
    </row>
    <row r="924" spans="4:16" ht="14.25" customHeight="1" x14ac:dyDescent="0.3">
      <c r="D924" s="393"/>
      <c r="P924" s="165"/>
    </row>
    <row r="925" spans="4:16" ht="14.25" customHeight="1" x14ac:dyDescent="0.3">
      <c r="D925" s="393"/>
      <c r="P925" s="165"/>
    </row>
    <row r="926" spans="4:16" ht="14.25" customHeight="1" x14ac:dyDescent="0.3">
      <c r="D926" s="393"/>
      <c r="P926" s="165"/>
    </row>
    <row r="927" spans="4:16" ht="14.25" customHeight="1" x14ac:dyDescent="0.3">
      <c r="D927" s="393"/>
      <c r="P927" s="165"/>
    </row>
    <row r="928" spans="4:16" ht="14.25" customHeight="1" x14ac:dyDescent="0.3">
      <c r="D928" s="393"/>
      <c r="P928" s="165"/>
    </row>
    <row r="929" spans="4:16" ht="14.25" customHeight="1" x14ac:dyDescent="0.3">
      <c r="D929" s="393"/>
      <c r="P929" s="165"/>
    </row>
    <row r="930" spans="4:16" ht="14.25" customHeight="1" x14ac:dyDescent="0.3">
      <c r="D930" s="393"/>
      <c r="P930" s="165"/>
    </row>
    <row r="931" spans="4:16" ht="14.25" customHeight="1" x14ac:dyDescent="0.3">
      <c r="D931" s="393"/>
      <c r="P931" s="165"/>
    </row>
    <row r="932" spans="4:16" ht="14.25" customHeight="1" x14ac:dyDescent="0.3">
      <c r="D932" s="393"/>
      <c r="P932" s="165"/>
    </row>
    <row r="933" spans="4:16" ht="14.25" customHeight="1" x14ac:dyDescent="0.3">
      <c r="D933" s="393"/>
      <c r="P933" s="165"/>
    </row>
    <row r="934" spans="4:16" ht="14.25" customHeight="1" x14ac:dyDescent="0.3">
      <c r="D934" s="393"/>
      <c r="P934" s="165"/>
    </row>
    <row r="935" spans="4:16" ht="14.25" customHeight="1" x14ac:dyDescent="0.3">
      <c r="D935" s="393"/>
      <c r="P935" s="165"/>
    </row>
    <row r="936" spans="4:16" ht="14.25" customHeight="1" x14ac:dyDescent="0.3">
      <c r="D936" s="393"/>
      <c r="P936" s="165"/>
    </row>
    <row r="937" spans="4:16" ht="14.25" customHeight="1" x14ac:dyDescent="0.3">
      <c r="D937" s="393"/>
      <c r="P937" s="165"/>
    </row>
    <row r="938" spans="4:16" ht="14.25" customHeight="1" x14ac:dyDescent="0.3">
      <c r="D938" s="393"/>
      <c r="P938" s="165"/>
    </row>
    <row r="939" spans="4:16" ht="14.25" customHeight="1" x14ac:dyDescent="0.3">
      <c r="D939" s="393"/>
      <c r="P939" s="165"/>
    </row>
    <row r="940" spans="4:16" ht="14.25" customHeight="1" x14ac:dyDescent="0.3">
      <c r="D940" s="393"/>
      <c r="P940" s="165"/>
    </row>
    <row r="941" spans="4:16" ht="14.25" customHeight="1" x14ac:dyDescent="0.3">
      <c r="D941" s="393"/>
      <c r="P941" s="165"/>
    </row>
    <row r="942" spans="4:16" ht="14.25" customHeight="1" x14ac:dyDescent="0.3">
      <c r="D942" s="393"/>
      <c r="P942" s="165"/>
    </row>
    <row r="943" spans="4:16" ht="14.25" customHeight="1" x14ac:dyDescent="0.3">
      <c r="D943" s="393"/>
      <c r="P943" s="165"/>
    </row>
    <row r="944" spans="4:16" ht="14.25" customHeight="1" x14ac:dyDescent="0.3">
      <c r="D944" s="393"/>
      <c r="P944" s="165"/>
    </row>
    <row r="945" spans="4:16" ht="14.25" customHeight="1" x14ac:dyDescent="0.3">
      <c r="D945" s="393"/>
      <c r="P945" s="165"/>
    </row>
    <row r="946" spans="4:16" ht="14.25" customHeight="1" x14ac:dyDescent="0.3">
      <c r="D946" s="393"/>
      <c r="P946" s="165"/>
    </row>
    <row r="947" spans="4:16" ht="14.25" customHeight="1" x14ac:dyDescent="0.3">
      <c r="D947" s="393"/>
      <c r="P947" s="165"/>
    </row>
    <row r="948" spans="4:16" ht="14.25" customHeight="1" x14ac:dyDescent="0.3">
      <c r="D948" s="393"/>
      <c r="P948" s="165"/>
    </row>
    <row r="949" spans="4:16" ht="14.25" customHeight="1" x14ac:dyDescent="0.3">
      <c r="D949" s="393"/>
      <c r="P949" s="165"/>
    </row>
    <row r="950" spans="4:16" ht="14.25" customHeight="1" x14ac:dyDescent="0.3">
      <c r="D950" s="393"/>
      <c r="P950" s="165"/>
    </row>
    <row r="951" spans="4:16" ht="14.25" customHeight="1" x14ac:dyDescent="0.3">
      <c r="D951" s="393"/>
      <c r="P951" s="165"/>
    </row>
    <row r="952" spans="4:16" ht="14.25" customHeight="1" x14ac:dyDescent="0.3">
      <c r="D952" s="393"/>
      <c r="P952" s="165"/>
    </row>
    <row r="953" spans="4:16" ht="14.25" customHeight="1" x14ac:dyDescent="0.3">
      <c r="D953" s="393"/>
      <c r="P953" s="165"/>
    </row>
    <row r="954" spans="4:16" ht="14.25" customHeight="1" x14ac:dyDescent="0.3">
      <c r="D954" s="393"/>
      <c r="P954" s="165"/>
    </row>
    <row r="955" spans="4:16" ht="14.25" customHeight="1" x14ac:dyDescent="0.3">
      <c r="D955" s="393"/>
      <c r="P955" s="165"/>
    </row>
    <row r="956" spans="4:16" ht="14.25" customHeight="1" x14ac:dyDescent="0.3">
      <c r="D956" s="393"/>
      <c r="P956" s="165"/>
    </row>
    <row r="957" spans="4:16" ht="14.25" customHeight="1" x14ac:dyDescent="0.3">
      <c r="D957" s="393"/>
      <c r="P957" s="165"/>
    </row>
    <row r="958" spans="4:16" ht="14.25" customHeight="1" x14ac:dyDescent="0.3">
      <c r="D958" s="393"/>
      <c r="P958" s="165"/>
    </row>
    <row r="959" spans="4:16" ht="14.25" customHeight="1" x14ac:dyDescent="0.3">
      <c r="D959" s="393"/>
      <c r="P959" s="165"/>
    </row>
    <row r="960" spans="4:16" ht="14.25" customHeight="1" x14ac:dyDescent="0.3">
      <c r="D960" s="393"/>
      <c r="P960" s="165"/>
    </row>
    <row r="961" spans="4:16" ht="14.25" customHeight="1" x14ac:dyDescent="0.3">
      <c r="D961" s="393"/>
      <c r="P961" s="165"/>
    </row>
    <row r="962" spans="4:16" ht="14.25" customHeight="1" x14ac:dyDescent="0.3">
      <c r="D962" s="393"/>
      <c r="P962" s="165"/>
    </row>
    <row r="963" spans="4:16" ht="14.25" customHeight="1" x14ac:dyDescent="0.3">
      <c r="D963" s="393"/>
      <c r="P963" s="165"/>
    </row>
    <row r="964" spans="4:16" ht="14.25" customHeight="1" x14ac:dyDescent="0.3">
      <c r="D964" s="393"/>
      <c r="P964" s="165"/>
    </row>
    <row r="965" spans="4:16" ht="14.25" customHeight="1" x14ac:dyDescent="0.3">
      <c r="D965" s="393"/>
      <c r="P965" s="165"/>
    </row>
    <row r="966" spans="4:16" ht="14.25" customHeight="1" x14ac:dyDescent="0.3">
      <c r="D966" s="393"/>
      <c r="P966" s="165"/>
    </row>
    <row r="967" spans="4:16" ht="14.25" customHeight="1" x14ac:dyDescent="0.3">
      <c r="D967" s="393"/>
      <c r="P967" s="165"/>
    </row>
    <row r="968" spans="4:16" ht="14.25" customHeight="1" x14ac:dyDescent="0.3">
      <c r="D968" s="393"/>
      <c r="P968" s="165"/>
    </row>
    <row r="969" spans="4:16" ht="14.25" customHeight="1" x14ac:dyDescent="0.3">
      <c r="D969" s="393"/>
      <c r="P969" s="165"/>
    </row>
    <row r="970" spans="4:16" ht="14.25" customHeight="1" x14ac:dyDescent="0.3">
      <c r="D970" s="393"/>
      <c r="P970" s="165"/>
    </row>
    <row r="971" spans="4:16" ht="14.25" customHeight="1" x14ac:dyDescent="0.3">
      <c r="D971" s="393"/>
      <c r="P971" s="165"/>
    </row>
    <row r="972" spans="4:16" ht="14.25" customHeight="1" x14ac:dyDescent="0.3">
      <c r="D972" s="393"/>
      <c r="P972" s="165"/>
    </row>
    <row r="973" spans="4:16" ht="14.25" customHeight="1" x14ac:dyDescent="0.3">
      <c r="D973" s="393"/>
      <c r="P973" s="165"/>
    </row>
    <row r="974" spans="4:16" ht="14.25" customHeight="1" x14ac:dyDescent="0.3">
      <c r="D974" s="393"/>
      <c r="P974" s="165"/>
    </row>
    <row r="975" spans="4:16" ht="14.25" customHeight="1" x14ac:dyDescent="0.3">
      <c r="D975" s="393"/>
      <c r="P975" s="165"/>
    </row>
    <row r="976" spans="4:16" ht="14.25" customHeight="1" x14ac:dyDescent="0.3">
      <c r="D976" s="393"/>
      <c r="P976" s="165"/>
    </row>
    <row r="977" spans="4:16" ht="14.25" customHeight="1" x14ac:dyDescent="0.3">
      <c r="D977" s="393"/>
      <c r="P977" s="165"/>
    </row>
    <row r="978" spans="4:16" ht="14.25" customHeight="1" x14ac:dyDescent="0.3">
      <c r="D978" s="393"/>
      <c r="P978" s="165"/>
    </row>
    <row r="979" spans="4:16" ht="14.25" customHeight="1" x14ac:dyDescent="0.3">
      <c r="D979" s="393"/>
      <c r="P979" s="165"/>
    </row>
    <row r="980" spans="4:16" ht="14.25" customHeight="1" x14ac:dyDescent="0.3">
      <c r="D980" s="393"/>
      <c r="P980" s="165"/>
    </row>
    <row r="981" spans="4:16" ht="14.25" customHeight="1" x14ac:dyDescent="0.3">
      <c r="D981" s="393"/>
      <c r="P981" s="165"/>
    </row>
    <row r="982" spans="4:16" ht="14.25" customHeight="1" x14ac:dyDescent="0.3">
      <c r="D982" s="393"/>
      <c r="P982" s="165"/>
    </row>
    <row r="983" spans="4:16" ht="14.25" customHeight="1" x14ac:dyDescent="0.3">
      <c r="D983" s="393"/>
      <c r="P983" s="165"/>
    </row>
    <row r="984" spans="4:16" ht="14.25" customHeight="1" x14ac:dyDescent="0.3">
      <c r="D984" s="393"/>
      <c r="P984" s="165"/>
    </row>
    <row r="985" spans="4:16" ht="14.25" customHeight="1" x14ac:dyDescent="0.3">
      <c r="D985" s="393"/>
      <c r="P985" s="165"/>
    </row>
    <row r="986" spans="4:16" ht="14.25" customHeight="1" x14ac:dyDescent="0.3">
      <c r="D986" s="393"/>
      <c r="P986" s="165"/>
    </row>
    <row r="987" spans="4:16" ht="14.25" customHeight="1" x14ac:dyDescent="0.3">
      <c r="D987" s="393"/>
      <c r="P987" s="165"/>
    </row>
    <row r="988" spans="4:16" ht="14.25" customHeight="1" x14ac:dyDescent="0.3">
      <c r="D988" s="393"/>
      <c r="P988" s="165"/>
    </row>
    <row r="989" spans="4:16" ht="14.25" customHeight="1" x14ac:dyDescent="0.3">
      <c r="D989" s="393"/>
      <c r="P989" s="165"/>
    </row>
    <row r="990" spans="4:16" ht="14.25" customHeight="1" x14ac:dyDescent="0.3">
      <c r="D990" s="393"/>
      <c r="P990" s="165"/>
    </row>
    <row r="991" spans="4:16" ht="14.25" customHeight="1" x14ac:dyDescent="0.3">
      <c r="D991" s="393"/>
      <c r="P991" s="165"/>
    </row>
    <row r="992" spans="4:16" ht="14.25" customHeight="1" x14ac:dyDescent="0.3">
      <c r="D992" s="393"/>
      <c r="P992" s="165"/>
    </row>
    <row r="993" spans="4:16" ht="14.25" customHeight="1" x14ac:dyDescent="0.3">
      <c r="D993" s="393"/>
      <c r="P993" s="165"/>
    </row>
    <row r="994" spans="4:16" ht="14.25" customHeight="1" x14ac:dyDescent="0.3">
      <c r="D994" s="393"/>
      <c r="P994" s="165"/>
    </row>
    <row r="995" spans="4:16" ht="14.25" customHeight="1" x14ac:dyDescent="0.3">
      <c r="D995" s="393"/>
      <c r="P995" s="165"/>
    </row>
    <row r="996" spans="4:16" ht="14.25" customHeight="1" x14ac:dyDescent="0.3">
      <c r="D996" s="393"/>
      <c r="P996" s="165"/>
    </row>
    <row r="997" spans="4:16" ht="14.25" customHeight="1" x14ac:dyDescent="0.3">
      <c r="D997" s="393"/>
      <c r="P997" s="165"/>
    </row>
    <row r="998" spans="4:16" ht="14.25" customHeight="1" x14ac:dyDescent="0.3">
      <c r="D998" s="393"/>
      <c r="P998" s="165"/>
    </row>
    <row r="999" spans="4:16" ht="14.25" customHeight="1" x14ac:dyDescent="0.3">
      <c r="D999" s="393"/>
      <c r="P999" s="165"/>
    </row>
    <row r="1000" spans="4:16" ht="14.25" customHeight="1" x14ac:dyDescent="0.3">
      <c r="D1000" s="393"/>
      <c r="P1000" s="165"/>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N945"/>
  <sheetViews>
    <sheetView showGridLines="0" zoomScaleNormal="100" workbookViewId="0">
      <pane xSplit="2" ySplit="2" topLeftCell="C3" activePane="bottomRight" state="frozen"/>
      <selection pane="topRight" activeCell="C1" sqref="C1"/>
      <selection pane="bottomLeft" activeCell="A3" sqref="A3"/>
      <selection pane="bottomRight" activeCell="G26" sqref="G26"/>
    </sheetView>
  </sheetViews>
  <sheetFormatPr defaultColWidth="12.6640625" defaultRowHeight="14.4" x14ac:dyDescent="0.3"/>
  <cols>
    <col min="1" max="1" width="3" style="447" customWidth="1"/>
    <col min="2" max="2" width="61.6640625" style="447" customWidth="1"/>
    <col min="3" max="6" width="10.33203125" style="447" customWidth="1"/>
    <col min="7" max="7" width="11.109375" style="447" customWidth="1"/>
    <col min="8" max="12" width="13.44140625" style="447" customWidth="1"/>
    <col min="13" max="13" width="3" style="447" customWidth="1"/>
    <col min="14" max="14" width="255.6640625" style="447" customWidth="1"/>
    <col min="15" max="26" width="8.44140625" style="447" customWidth="1"/>
    <col min="27" max="16384" width="12.6640625" style="447"/>
  </cols>
  <sheetData>
    <row r="1" spans="1:14" ht="14.25" customHeight="1" x14ac:dyDescent="0.3">
      <c r="B1" s="448"/>
      <c r="C1" s="394" t="s">
        <v>98</v>
      </c>
      <c r="D1" s="395" t="s">
        <v>98</v>
      </c>
      <c r="E1" s="395" t="s">
        <v>98</v>
      </c>
      <c r="F1" s="395" t="s">
        <v>98</v>
      </c>
      <c r="G1" s="396" t="s">
        <v>98</v>
      </c>
      <c r="H1" s="397" t="s">
        <v>99</v>
      </c>
      <c r="I1" s="398" t="s">
        <v>99</v>
      </c>
      <c r="J1" s="398" t="s">
        <v>99</v>
      </c>
      <c r="K1" s="398" t="s">
        <v>99</v>
      </c>
      <c r="L1" s="399" t="s">
        <v>99</v>
      </c>
      <c r="M1" s="449"/>
      <c r="N1" s="450"/>
    </row>
    <row r="2" spans="1:14" ht="14.25" customHeight="1" x14ac:dyDescent="0.3">
      <c r="B2" s="451" t="s">
        <v>305</v>
      </c>
      <c r="C2" s="174">
        <v>44286</v>
      </c>
      <c r="D2" s="175">
        <v>44651</v>
      </c>
      <c r="E2" s="175">
        <v>45016</v>
      </c>
      <c r="F2" s="175">
        <v>45382</v>
      </c>
      <c r="G2" s="176">
        <v>45747</v>
      </c>
      <c r="H2" s="174">
        <v>46112</v>
      </c>
      <c r="I2" s="175">
        <v>46477</v>
      </c>
      <c r="J2" s="175">
        <v>46843</v>
      </c>
      <c r="K2" s="175">
        <v>47208</v>
      </c>
      <c r="L2" s="176">
        <v>47573</v>
      </c>
      <c r="N2" s="452" t="s">
        <v>307</v>
      </c>
    </row>
    <row r="3" spans="1:14" ht="14.25" customHeight="1" x14ac:dyDescent="0.3">
      <c r="B3" s="453"/>
      <c r="C3" s="453"/>
      <c r="G3" s="454"/>
      <c r="H3" s="453"/>
      <c r="L3" s="454"/>
      <c r="N3" s="455"/>
    </row>
    <row r="4" spans="1:14" ht="14.25" customHeight="1" x14ac:dyDescent="0.3">
      <c r="A4" s="178"/>
      <c r="B4" s="456" t="s">
        <v>637</v>
      </c>
      <c r="C4" s="457"/>
      <c r="D4" s="178"/>
      <c r="E4" s="178"/>
      <c r="F4" s="178"/>
      <c r="G4" s="458"/>
      <c r="H4" s="457"/>
      <c r="I4" s="178"/>
      <c r="J4" s="178"/>
      <c r="K4" s="178"/>
      <c r="L4" s="458"/>
      <c r="M4" s="178"/>
      <c r="N4" s="459"/>
    </row>
    <row r="5" spans="1:14" ht="14.25" customHeight="1" x14ac:dyDescent="0.3">
      <c r="B5" s="460" t="s">
        <v>638</v>
      </c>
      <c r="C5" s="461"/>
      <c r="D5" s="239">
        <f t="shared" ref="D5:L5" si="0">C10</f>
        <v>50310</v>
      </c>
      <c r="E5" s="239">
        <f t="shared" si="0"/>
        <v>45874</v>
      </c>
      <c r="F5" s="239">
        <f t="shared" si="0"/>
        <v>38755</v>
      </c>
      <c r="G5" s="240">
        <f t="shared" si="0"/>
        <v>38561</v>
      </c>
      <c r="H5" s="238">
        <f t="shared" si="0"/>
        <v>32260</v>
      </c>
      <c r="I5" s="239">
        <f t="shared" si="0"/>
        <v>21867.826370211718</v>
      </c>
      <c r="J5" s="239">
        <f t="shared" si="0"/>
        <v>83568.728765236374</v>
      </c>
      <c r="K5" s="239">
        <f t="shared" si="0"/>
        <v>99097.190363115224</v>
      </c>
      <c r="L5" s="240">
        <f t="shared" si="0"/>
        <v>107699.15464982475</v>
      </c>
      <c r="N5" s="455"/>
    </row>
    <row r="6" spans="1:14" ht="86.25" customHeight="1" x14ac:dyDescent="0.3">
      <c r="B6" s="460" t="s">
        <v>639</v>
      </c>
      <c r="C6" s="461"/>
      <c r="D6" s="239">
        <v>1281</v>
      </c>
      <c r="E6" s="239">
        <v>465</v>
      </c>
      <c r="F6" s="239">
        <v>8874</v>
      </c>
      <c r="G6" s="240">
        <v>4895</v>
      </c>
      <c r="H6" s="238">
        <v>2000</v>
      </c>
      <c r="I6" s="239">
        <v>75000</v>
      </c>
      <c r="J6" s="239">
        <v>30000</v>
      </c>
      <c r="K6" s="239">
        <v>25000</v>
      </c>
      <c r="L6" s="240">
        <v>15000</v>
      </c>
      <c r="N6" s="222" t="s">
        <v>640</v>
      </c>
    </row>
    <row r="7" spans="1:14" ht="14.25" customHeight="1" x14ac:dyDescent="0.3">
      <c r="B7" s="460" t="s">
        <v>641</v>
      </c>
      <c r="C7" s="461"/>
      <c r="D7" s="239">
        <v>-5717</v>
      </c>
      <c r="E7" s="239">
        <v>-7854</v>
      </c>
      <c r="F7" s="239">
        <v>-9068</v>
      </c>
      <c r="G7" s="240">
        <v>-11196</v>
      </c>
      <c r="H7" s="238">
        <f>-'INCOME STATEMENT'!H9+'INCOME STATEMENT'!H8</f>
        <v>-12392.173629788282</v>
      </c>
      <c r="I7" s="239">
        <f>-'INCOME STATEMENT'!I9+'INCOME STATEMENT'!I8</f>
        <v>-13299.097604975346</v>
      </c>
      <c r="J7" s="239">
        <f>-'INCOME STATEMENT'!J9+'INCOME STATEMENT'!J8</f>
        <v>-14471.53840212115</v>
      </c>
      <c r="K7" s="239">
        <f>-'INCOME STATEMENT'!K9+'INCOME STATEMENT'!K8</f>
        <v>-16398.035713290476</v>
      </c>
      <c r="L7" s="240">
        <f>-'INCOME STATEMENT'!L9+'INCOME STATEMENT'!L8</f>
        <v>-18893.880799734601</v>
      </c>
      <c r="N7" s="455"/>
    </row>
    <row r="8" spans="1:14" ht="14.25" customHeight="1" x14ac:dyDescent="0.3">
      <c r="B8" s="460" t="s">
        <v>642</v>
      </c>
      <c r="C8" s="461"/>
      <c r="D8" s="239">
        <v>0</v>
      </c>
      <c r="E8" s="239">
        <v>0</v>
      </c>
      <c r="F8" s="239">
        <v>0</v>
      </c>
      <c r="G8" s="240">
        <v>0</v>
      </c>
      <c r="H8" s="238">
        <v>0</v>
      </c>
      <c r="I8" s="239">
        <v>0</v>
      </c>
      <c r="J8" s="239">
        <v>0</v>
      </c>
      <c r="K8" s="239">
        <v>0</v>
      </c>
      <c r="L8" s="240">
        <v>0</v>
      </c>
      <c r="N8" s="455"/>
    </row>
    <row r="9" spans="1:14" ht="14.25" customHeight="1" x14ac:dyDescent="0.3">
      <c r="B9" s="460" t="s">
        <v>643</v>
      </c>
      <c r="C9" s="461"/>
      <c r="D9" s="239">
        <v>0</v>
      </c>
      <c r="E9" s="239">
        <v>0</v>
      </c>
      <c r="F9" s="239">
        <v>0</v>
      </c>
      <c r="G9" s="240">
        <v>0</v>
      </c>
      <c r="H9" s="238">
        <v>0</v>
      </c>
      <c r="I9" s="239">
        <v>0</v>
      </c>
      <c r="J9" s="239">
        <v>0</v>
      </c>
      <c r="K9" s="239">
        <v>0</v>
      </c>
      <c r="L9" s="240">
        <v>0</v>
      </c>
      <c r="N9" s="455"/>
    </row>
    <row r="10" spans="1:14" ht="14.25" customHeight="1" x14ac:dyDescent="0.3">
      <c r="A10" s="223"/>
      <c r="B10" s="451" t="s">
        <v>644</v>
      </c>
      <c r="C10" s="281">
        <v>50310</v>
      </c>
      <c r="D10" s="279">
        <v>45874</v>
      </c>
      <c r="E10" s="279">
        <v>38755</v>
      </c>
      <c r="F10" s="279">
        <v>38561</v>
      </c>
      <c r="G10" s="280">
        <v>32260</v>
      </c>
      <c r="H10" s="281">
        <f>SUM(H5:H9)</f>
        <v>21867.826370211718</v>
      </c>
      <c r="I10" s="279">
        <f>SUM(I5:I9)</f>
        <v>83568.728765236374</v>
      </c>
      <c r="J10" s="279">
        <f>SUM(J5:J9)</f>
        <v>99097.190363115224</v>
      </c>
      <c r="K10" s="279">
        <f>SUM(K5:K9)</f>
        <v>107699.15464982475</v>
      </c>
      <c r="L10" s="280">
        <f>SUM(L5:L9)</f>
        <v>103805.27385009015</v>
      </c>
      <c r="M10" s="223"/>
      <c r="N10" s="462"/>
    </row>
    <row r="11" spans="1:14" ht="14.25" customHeight="1" x14ac:dyDescent="0.3">
      <c r="B11" s="453"/>
      <c r="C11" s="453"/>
      <c r="G11" s="454"/>
      <c r="H11" s="453"/>
      <c r="L11" s="454"/>
      <c r="N11" s="455"/>
    </row>
    <row r="12" spans="1:14" ht="14.25" customHeight="1" x14ac:dyDescent="0.3">
      <c r="B12" s="463" t="s">
        <v>645</v>
      </c>
      <c r="C12" s="453"/>
      <c r="D12" s="360">
        <f t="shared" ref="D12:L12" si="1">ABS(D6/D7)</f>
        <v>0.22406856743047052</v>
      </c>
      <c r="E12" s="360">
        <f t="shared" si="1"/>
        <v>5.920550038197097E-2</v>
      </c>
      <c r="F12" s="360">
        <f t="shared" si="1"/>
        <v>0.97860608734009702</v>
      </c>
      <c r="G12" s="361">
        <f t="shared" si="1"/>
        <v>0.43720971775634154</v>
      </c>
      <c r="H12" s="362">
        <f t="shared" si="1"/>
        <v>0.16139218669373742</v>
      </c>
      <c r="I12" s="360">
        <f t="shared" si="1"/>
        <v>5.6394803788748522</v>
      </c>
      <c r="J12" s="360">
        <f t="shared" si="1"/>
        <v>2.0730346122429375</v>
      </c>
      <c r="K12" s="360">
        <f t="shared" si="1"/>
        <v>1.5245728474501188</v>
      </c>
      <c r="L12" s="361">
        <f t="shared" si="1"/>
        <v>0.79390783497536954</v>
      </c>
      <c r="N12" s="455"/>
    </row>
    <row r="13" spans="1:14" ht="14.25" customHeight="1" x14ac:dyDescent="0.3">
      <c r="B13" s="464" t="s">
        <v>646</v>
      </c>
      <c r="C13" s="465"/>
      <c r="D13" s="466">
        <f t="shared" ref="D13:L13" si="2">ABS(D10/D7)</f>
        <v>8.0241385341962577</v>
      </c>
      <c r="E13" s="466">
        <f t="shared" si="2"/>
        <v>4.9344283167812577</v>
      </c>
      <c r="F13" s="466">
        <f t="shared" si="2"/>
        <v>4.2524261138067931</v>
      </c>
      <c r="G13" s="467">
        <f t="shared" si="2"/>
        <v>2.8813862093604858</v>
      </c>
      <c r="H13" s="468">
        <f t="shared" si="2"/>
        <v>1.7646481580637219</v>
      </c>
      <c r="I13" s="466">
        <f t="shared" si="2"/>
        <v>6.2837894154541996</v>
      </c>
      <c r="J13" s="466">
        <f t="shared" si="2"/>
        <v>6.8477301866255047</v>
      </c>
      <c r="K13" s="466">
        <f t="shared" si="2"/>
        <v>6.5678082748981605</v>
      </c>
      <c r="L13" s="467">
        <f t="shared" si="2"/>
        <v>5.4941213480900268</v>
      </c>
      <c r="M13" s="469"/>
      <c r="N13" s="470"/>
    </row>
    <row r="14" spans="1:14" ht="14.25" customHeight="1" x14ac:dyDescent="0.3"/>
    <row r="15" spans="1:14" ht="14.25" customHeight="1" x14ac:dyDescent="0.3"/>
    <row r="16" spans="1: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M1000"/>
  <sheetViews>
    <sheetView showGridLines="0" zoomScaleNormal="100" workbookViewId="0">
      <selection activeCell="G37" sqref="G37"/>
    </sheetView>
  </sheetViews>
  <sheetFormatPr defaultColWidth="12.6640625" defaultRowHeight="14.4" x14ac:dyDescent="0.3"/>
  <cols>
    <col min="1" max="1" width="3" customWidth="1"/>
    <col min="2" max="2" width="37.109375" customWidth="1"/>
    <col min="3" max="5" width="9.33203125" customWidth="1"/>
    <col min="6" max="7" width="10.109375" customWidth="1"/>
    <col min="8" max="12" width="11.88671875" customWidth="1"/>
    <col min="13" max="26" width="3" customWidth="1"/>
  </cols>
  <sheetData>
    <row r="1" spans="1:13" ht="14.25" customHeight="1" x14ac:dyDescent="0.3">
      <c r="C1" s="126" t="s">
        <v>98</v>
      </c>
      <c r="D1" s="126" t="s">
        <v>98</v>
      </c>
      <c r="E1" s="126" t="s">
        <v>98</v>
      </c>
      <c r="F1" s="126" t="s">
        <v>98</v>
      </c>
      <c r="G1" s="126" t="s">
        <v>98</v>
      </c>
      <c r="H1" s="127" t="s">
        <v>99</v>
      </c>
      <c r="I1" s="127" t="s">
        <v>99</v>
      </c>
      <c r="J1" s="127" t="s">
        <v>99</v>
      </c>
      <c r="K1" s="127" t="s">
        <v>99</v>
      </c>
      <c r="L1" s="127" t="s">
        <v>99</v>
      </c>
    </row>
    <row r="2" spans="1:13" ht="14.25" customHeight="1" x14ac:dyDescent="0.3">
      <c r="B2" s="128" t="s">
        <v>100</v>
      </c>
      <c r="C2" s="30">
        <v>44286</v>
      </c>
      <c r="D2" s="30">
        <v>44651</v>
      </c>
      <c r="E2" s="30">
        <v>45016</v>
      </c>
      <c r="F2" s="30">
        <v>45382</v>
      </c>
      <c r="G2" s="30">
        <v>45747</v>
      </c>
      <c r="H2" s="30">
        <v>46112</v>
      </c>
      <c r="I2" s="30">
        <v>46477</v>
      </c>
      <c r="J2" s="30">
        <v>46843</v>
      </c>
      <c r="K2" s="30">
        <v>47208</v>
      </c>
      <c r="L2" s="30">
        <v>47573</v>
      </c>
    </row>
    <row r="3" spans="1:13" ht="15.75" customHeight="1" x14ac:dyDescent="0.3">
      <c r="A3" s="129"/>
      <c r="B3" s="130" t="s">
        <v>238</v>
      </c>
      <c r="C3" s="129"/>
      <c r="D3" s="129"/>
      <c r="E3" s="129"/>
      <c r="F3" s="129"/>
      <c r="G3" s="129"/>
      <c r="H3" s="129"/>
      <c r="I3" s="129"/>
      <c r="J3" s="129"/>
      <c r="K3" s="129"/>
      <c r="L3" s="129"/>
      <c r="M3" s="131"/>
    </row>
    <row r="4" spans="1:13" ht="14.25" customHeight="1" x14ac:dyDescent="0.3">
      <c r="B4" s="132" t="s">
        <v>239</v>
      </c>
      <c r="C4" s="133">
        <f>'INCOME STATEMENT'!C36</f>
        <v>164.21999999999943</v>
      </c>
      <c r="D4" s="133">
        <f>'INCOME STATEMENT'!D36</f>
        <v>360.19000000000074</v>
      </c>
      <c r="E4" s="133">
        <f>'INCOME STATEMENT'!E36</f>
        <v>722.21999999999923</v>
      </c>
      <c r="F4" s="133">
        <f>'INCOME STATEMENT'!F36</f>
        <v>1328.4799999999996</v>
      </c>
      <c r="G4" s="133">
        <f>'INCOME STATEMENT'!G36</f>
        <v>1944.8300000000004</v>
      </c>
      <c r="H4" s="133">
        <f>'INCOME STATEMENT'!H36</f>
        <v>1716.5362239904973</v>
      </c>
      <c r="I4" s="133">
        <f>'INCOME STATEMENT'!I36</f>
        <v>2336.9731984928603</v>
      </c>
      <c r="J4" s="133">
        <f>'INCOME STATEMENT'!J36</f>
        <v>2618.9494237171348</v>
      </c>
      <c r="K4" s="133">
        <f>'INCOME STATEMENT'!K36</f>
        <v>2783.7527823119631</v>
      </c>
      <c r="L4" s="133">
        <f>'INCOME STATEMENT'!L36</f>
        <v>3338.7180943749518</v>
      </c>
    </row>
    <row r="5" spans="1:13" ht="14.25" customHeight="1" x14ac:dyDescent="0.3">
      <c r="B5" s="132" t="s">
        <v>240</v>
      </c>
      <c r="C5" s="134">
        <f>'INCOME STATEMENT'!C58/'INCOME STATEMENT'!C53</f>
        <v>0.23868110236220491</v>
      </c>
      <c r="D5" s="134">
        <f>'INCOME STATEMENT'!D58/'INCOME STATEMENT'!D53</f>
        <v>0.24100221304792327</v>
      </c>
      <c r="E5" s="134">
        <f>'INCOME STATEMENT'!E58/'INCOME STATEMENT'!E53</f>
        <v>0.24949451841072401</v>
      </c>
      <c r="F5" s="134">
        <f>'INCOME STATEMENT'!F58/'INCOME STATEMENT'!F53</f>
        <v>0.25024579707318662</v>
      </c>
      <c r="G5" s="134">
        <f>'INCOME STATEMENT'!G58/'INCOME STATEMENT'!G53</f>
        <v>0.25225781551524501</v>
      </c>
      <c r="H5" s="134">
        <f>'INCOME STATEMENT'!H58/'INCOME STATEMENT'!H53</f>
        <v>0.25066604366638523</v>
      </c>
      <c r="I5" s="134">
        <f>'INCOME STATEMENT'!I58/'INCOME STATEMENT'!I53</f>
        <v>0.25105655208493899</v>
      </c>
      <c r="J5" s="134">
        <f>'INCOME STATEMENT'!J58/'INCOME STATEMENT'!J53</f>
        <v>0.25132680375552313</v>
      </c>
      <c r="K5" s="134">
        <f>'INCOME STATEMENT'!K58/'INCOME STATEMENT'!K53</f>
        <v>0.25101646650228249</v>
      </c>
      <c r="L5" s="134">
        <f>'INCOME STATEMENT'!L58/'INCOME STATEMENT'!L53</f>
        <v>0.25113327411424818</v>
      </c>
    </row>
    <row r="6" spans="1:13" ht="14.25" customHeight="1" x14ac:dyDescent="0.3">
      <c r="B6" s="128" t="s">
        <v>241</v>
      </c>
      <c r="C6" s="133">
        <f t="shared" ref="C6:L6" si="0">C4*(1-C5)</f>
        <v>125.02378937007829</v>
      </c>
      <c r="D6" s="133">
        <f t="shared" si="0"/>
        <v>273.38341288226911</v>
      </c>
      <c r="E6" s="133">
        <f t="shared" si="0"/>
        <v>542.03006891340635</v>
      </c>
      <c r="F6" s="133">
        <f t="shared" si="0"/>
        <v>996.0334635042127</v>
      </c>
      <c r="G6" s="133">
        <f t="shared" si="0"/>
        <v>1454.2314326514863</v>
      </c>
      <c r="H6" s="133">
        <f t="shared" si="0"/>
        <v>1286.2588799127634</v>
      </c>
      <c r="I6" s="133">
        <f t="shared" si="0"/>
        <v>1750.260764964331</v>
      </c>
      <c r="J6" s="133">
        <f t="shared" si="0"/>
        <v>1960.737235856938</v>
      </c>
      <c r="K6" s="133">
        <f t="shared" si="0"/>
        <v>2084.9849952801164</v>
      </c>
      <c r="L6" s="133">
        <f t="shared" si="0"/>
        <v>2500.2548879900864</v>
      </c>
    </row>
    <row r="7" spans="1:13" ht="14.25" customHeight="1" x14ac:dyDescent="0.3">
      <c r="B7" s="132" t="s">
        <v>242</v>
      </c>
      <c r="C7" s="133">
        <f>'INCOME STATEMENT'!C34</f>
        <v>59.65</v>
      </c>
      <c r="D7" s="133">
        <f>'INCOME STATEMENT'!D34</f>
        <v>74.509999999999991</v>
      </c>
      <c r="E7" s="133">
        <f>'INCOME STATEMENT'!E34</f>
        <v>75.580000000000013</v>
      </c>
      <c r="F7" s="133">
        <f>'INCOME STATEMENT'!F34</f>
        <v>83.13000000000001</v>
      </c>
      <c r="G7" s="133">
        <f>'INCOME STATEMENT'!G34</f>
        <v>115.19</v>
      </c>
      <c r="H7" s="133">
        <f>'INCOME STATEMENT'!H34</f>
        <v>100.79367730565158</v>
      </c>
      <c r="I7" s="133">
        <f>'INCOME STATEMENT'!I34</f>
        <v>105.47308347380741</v>
      </c>
      <c r="J7" s="133">
        <f>'INCOME STATEMENT'!J34</f>
        <v>110.25537017967892</v>
      </c>
      <c r="K7" s="133">
        <f>'INCOME STATEMENT'!K34</f>
        <v>108.39913363836287</v>
      </c>
      <c r="L7" s="133">
        <f>'INCOME STATEMENT'!L34</f>
        <v>110.27304057564999</v>
      </c>
    </row>
    <row r="8" spans="1:13" ht="14.25" customHeight="1" x14ac:dyDescent="0.3">
      <c r="B8" s="132" t="s">
        <v>243</v>
      </c>
      <c r="C8" s="133">
        <f>-('CASH FLOW STATEMENT '!C34+'CASH FLOW STATEMENT '!C35+'CASH FLOW STATEMENT '!C37)</f>
        <v>0</v>
      </c>
      <c r="D8" s="133">
        <f>-('CASH FLOW STATEMENT '!D34+'CASH FLOW STATEMENT '!D35+'CASH FLOW STATEMENT '!D37)</f>
        <v>41.189999999999991</v>
      </c>
      <c r="E8" s="133">
        <f>-('CASH FLOW STATEMENT '!E34+'CASH FLOW STATEMENT '!E35+'CASH FLOW STATEMENT '!E37)</f>
        <v>115.51</v>
      </c>
      <c r="F8" s="133">
        <f>-('CASH FLOW STATEMENT '!F34+'CASH FLOW STATEMENT '!F35+'CASH FLOW STATEMENT '!F37)</f>
        <v>334.76</v>
      </c>
      <c r="G8" s="133">
        <f>-('CASH FLOW STATEMENT '!G34+'CASH FLOW STATEMENT '!G35+'CASH FLOW STATEMENT '!G37)</f>
        <v>483.6</v>
      </c>
      <c r="H8" s="133">
        <f>-('CASH FLOW STATEMENT '!H34+'CASH FLOW STATEMENT '!H35+'CASH FLOW STATEMENT '!H37)</f>
        <v>310.79999999999995</v>
      </c>
      <c r="I8" s="133">
        <f>-('CASH FLOW STATEMENT '!I34+'CASH FLOW STATEMENT '!I35+'CASH FLOW STATEMENT '!I37)</f>
        <v>147</v>
      </c>
      <c r="J8" s="133">
        <f>-('CASH FLOW STATEMENT '!J34+'CASH FLOW STATEMENT '!J35+'CASH FLOW STATEMENT '!J37)</f>
        <v>72.000000000000057</v>
      </c>
      <c r="K8" s="133">
        <f>-('CASH FLOW STATEMENT '!K34+'CASH FLOW STATEMENT '!K35+'CASH FLOW STATEMENT '!K37)</f>
        <v>-78</v>
      </c>
      <c r="L8" s="133">
        <f>-('CASH FLOW STATEMENT '!L34+'CASH FLOW STATEMENT '!L35+'CASH FLOW STATEMENT '!L37)</f>
        <v>-88</v>
      </c>
    </row>
    <row r="9" spans="1:13" ht="6" customHeight="1" x14ac:dyDescent="0.3">
      <c r="C9" s="135"/>
      <c r="D9" s="135"/>
      <c r="E9" s="135"/>
      <c r="F9" s="135"/>
      <c r="G9" s="135"/>
      <c r="H9" s="135"/>
      <c r="I9" s="135"/>
      <c r="J9" s="135"/>
      <c r="K9" s="135"/>
      <c r="L9" s="135"/>
    </row>
    <row r="10" spans="1:13" ht="14.25" customHeight="1" x14ac:dyDescent="0.3">
      <c r="B10" s="128" t="s">
        <v>244</v>
      </c>
      <c r="C10" s="135"/>
      <c r="D10" s="135"/>
      <c r="E10" s="135"/>
      <c r="F10" s="135"/>
      <c r="G10" s="135"/>
      <c r="H10" s="135"/>
      <c r="I10" s="135"/>
      <c r="J10" s="135"/>
      <c r="K10" s="135"/>
      <c r="L10" s="135"/>
    </row>
    <row r="11" spans="1:13" ht="14.25" customHeight="1" x14ac:dyDescent="0.3">
      <c r="B11" s="132" t="s">
        <v>245</v>
      </c>
      <c r="C11" s="136"/>
      <c r="D11" s="133">
        <f>('BALANCE SHEET'!D13+'BALANCE SHEET'!D28)-('BALANCE SHEET'!C13+'BALANCE SHEET'!C28)</f>
        <v>41.759999999999877</v>
      </c>
      <c r="E11" s="133">
        <f>('BALANCE SHEET'!E13+'BALANCE SHEET'!E28)-('BALANCE SHEET'!D13+'BALANCE SHEET'!D28)</f>
        <v>-2.7899999999999636</v>
      </c>
      <c r="F11" s="133">
        <f>('BALANCE SHEET'!F13+'BALANCE SHEET'!F28)-('BALANCE SHEET'!E13+'BALANCE SHEET'!E28)</f>
        <v>844.23000000000013</v>
      </c>
      <c r="G11" s="133">
        <f>('BALANCE SHEET'!G13+'BALANCE SHEET'!G28)-('BALANCE SHEET'!F13+'BALANCE SHEET'!F28)</f>
        <v>-779.6400000000001</v>
      </c>
      <c r="H11" s="133">
        <f>('BALANCE SHEET'!H13+'BALANCE SHEET'!H28)-('BALANCE SHEET'!G13+'BALANCE SHEET'!G28)</f>
        <v>718.07235682607188</v>
      </c>
      <c r="I11" s="133">
        <f>('BALANCE SHEET'!I13+'BALANCE SHEET'!I28)-('BALANCE SHEET'!H13+'BALANCE SHEET'!H28)</f>
        <v>177.05787673760346</v>
      </c>
      <c r="J11" s="133">
        <f>('BALANCE SHEET'!J13+'BALANCE SHEET'!J28)-('BALANCE SHEET'!I13+'BALANCE SHEET'!I28)</f>
        <v>-94.652455995925266</v>
      </c>
      <c r="K11" s="133">
        <f>('BALANCE SHEET'!K13+'BALANCE SHEET'!K28)-('BALANCE SHEET'!J13+'BALANCE SHEET'!J28)</f>
        <v>422.19834710349664</v>
      </c>
      <c r="L11" s="133">
        <f>('BALANCE SHEET'!L13+'BALANCE SHEET'!L28)-('BALANCE SHEET'!K13+'BALANCE SHEET'!K28)</f>
        <v>319.71017844486596</v>
      </c>
    </row>
    <row r="12" spans="1:13" ht="14.25" customHeight="1" x14ac:dyDescent="0.3">
      <c r="B12" s="132" t="s">
        <v>246</v>
      </c>
      <c r="C12" s="136"/>
      <c r="D12" s="133">
        <f>'BALANCE SHEET'!D26-'BALANCE SHEET'!C26</f>
        <v>1811.4900000000007</v>
      </c>
      <c r="E12" s="133">
        <f>'BALANCE SHEET'!E26-'BALANCE SHEET'!D26</f>
        <v>-343.24000000000069</v>
      </c>
      <c r="F12" s="133">
        <f>'BALANCE SHEET'!F26-'BALANCE SHEET'!E26</f>
        <v>-1643.4899999999998</v>
      </c>
      <c r="G12" s="133">
        <f>'BALANCE SHEET'!G26-'BALANCE SHEET'!F26</f>
        <v>-1176.2899999999991</v>
      </c>
      <c r="H12" s="133">
        <f>'BALANCE SHEET'!H26-'BALANCE SHEET'!G26</f>
        <v>465.62117795009181</v>
      </c>
      <c r="I12" s="133">
        <f>'BALANCE SHEET'!I26-'BALANCE SHEET'!H26</f>
        <v>-329.98756316204708</v>
      </c>
      <c r="J12" s="133">
        <f>'BALANCE SHEET'!J26-'BALANCE SHEET'!I26</f>
        <v>-345.71294899126042</v>
      </c>
      <c r="K12" s="133">
        <f>'BALANCE SHEET'!K26-'BALANCE SHEET'!J26</f>
        <v>329.26688750679659</v>
      </c>
      <c r="L12" s="133">
        <f>'BALANCE SHEET'!L26-'BALANCE SHEET'!K26</f>
        <v>682.95240560161528</v>
      </c>
    </row>
    <row r="13" spans="1:13" ht="14.25" customHeight="1" x14ac:dyDescent="0.3">
      <c r="B13" s="132" t="s">
        <v>247</v>
      </c>
      <c r="C13" s="136"/>
      <c r="D13" s="133">
        <f>('BALANCE SHEET'!D49+'BALANCE SHEET'!D50+'BALANCE SHEET'!D62+'BALANCE SHEET'!D63)-('BALANCE SHEET'!C49+'BALANCE SHEET'!C50+'BALANCE SHEET'!C62+'BALANCE SHEET'!C63)</f>
        <v>-193.88000000000011</v>
      </c>
      <c r="E13" s="133">
        <f>('BALANCE SHEET'!E49+'BALANCE SHEET'!E50+'BALANCE SHEET'!E62+'BALANCE SHEET'!E63)-('BALANCE SHEET'!D49+'BALANCE SHEET'!D50+'BALANCE SHEET'!D62+'BALANCE SHEET'!D63)</f>
        <v>-1702.5700000000006</v>
      </c>
      <c r="F13" s="133">
        <f>('BALANCE SHEET'!F49+'BALANCE SHEET'!F50+'BALANCE SHEET'!F62+'BALANCE SHEET'!F63)-('BALANCE SHEET'!E49+'BALANCE SHEET'!E50+'BALANCE SHEET'!E62+'BALANCE SHEET'!E63)</f>
        <v>-33.349999999999454</v>
      </c>
      <c r="G13" s="133">
        <f>('BALANCE SHEET'!G49+'BALANCE SHEET'!G50+'BALANCE SHEET'!G62+'BALANCE SHEET'!G63)-('BALANCE SHEET'!F49+'BALANCE SHEET'!F50+'BALANCE SHEET'!F62+'BALANCE SHEET'!F63)</f>
        <v>-691.43000000000029</v>
      </c>
      <c r="H13" s="133">
        <f>('BALANCE SHEET'!H49+'BALANCE SHEET'!H50+'BALANCE SHEET'!H62+'BALANCE SHEET'!H63)-('BALANCE SHEET'!G49+'BALANCE SHEET'!G50+'BALANCE SHEET'!G62+'BALANCE SHEET'!G63)</f>
        <v>71.623040123840383</v>
      </c>
      <c r="I13" s="133">
        <f>('BALANCE SHEET'!I49+'BALANCE SHEET'!I50+'BALANCE SHEET'!I62+'BALANCE SHEET'!I63)-('BALANCE SHEET'!H49+'BALANCE SHEET'!H50+'BALANCE SHEET'!H62+'BALANCE SHEET'!H63)</f>
        <v>-370.84208758599698</v>
      </c>
      <c r="J13" s="133">
        <f>('BALANCE SHEET'!J49+'BALANCE SHEET'!J50+'BALANCE SHEET'!J62+'BALANCE SHEET'!J63)-('BALANCE SHEET'!I49+'BALANCE SHEET'!I50+'BALANCE SHEET'!I62+'BALANCE SHEET'!I63)</f>
        <v>297.95565379356094</v>
      </c>
      <c r="K13" s="133">
        <f>('BALANCE SHEET'!K49+'BALANCE SHEET'!K50+'BALANCE SHEET'!K62+'BALANCE SHEET'!K63)-('BALANCE SHEET'!J49+'BALANCE SHEET'!J50+'BALANCE SHEET'!J62+'BALANCE SHEET'!J63)</f>
        <v>665.0986152665414</v>
      </c>
      <c r="L13" s="133">
        <f>('BALANCE SHEET'!L49+'BALANCE SHEET'!L50+'BALANCE SHEET'!L62+'BALANCE SHEET'!L63)-('BALANCE SHEET'!K49+'BALANCE SHEET'!K50+'BALANCE SHEET'!K62+'BALANCE SHEET'!K63)</f>
        <v>724.50955703605632</v>
      </c>
    </row>
    <row r="14" spans="1:13" ht="14.25" customHeight="1" x14ac:dyDescent="0.3">
      <c r="B14" s="132" t="s">
        <v>248</v>
      </c>
      <c r="C14" s="136"/>
      <c r="D14" s="133">
        <f>'BALANCE SHEET'!D65-'BALANCE SHEET'!C65</f>
        <v>4531.6799999999985</v>
      </c>
      <c r="E14" s="133">
        <f>'BALANCE SHEET'!E65-'BALANCE SHEET'!D65</f>
        <v>625.58000000000175</v>
      </c>
      <c r="F14" s="133">
        <f>'BALANCE SHEET'!F65-'BALANCE SHEET'!E65</f>
        <v>-1609.9500000000007</v>
      </c>
      <c r="G14" s="133">
        <f>'BALANCE SHEET'!G65-'BALANCE SHEET'!F65</f>
        <v>-2229</v>
      </c>
      <c r="H14" s="133">
        <f>'BALANCE SHEET'!H65-'BALANCE SHEET'!G65</f>
        <v>-7412.0167362079592</v>
      </c>
      <c r="I14" s="133">
        <f>'BALANCE SHEET'!I65-'BALANCE SHEET'!H65</f>
        <v>6176.2650133285952</v>
      </c>
      <c r="J14" s="133">
        <f>'BALANCE SHEET'!J65-'BALANCE SHEET'!I65</f>
        <v>9932.0159700802815</v>
      </c>
      <c r="K14" s="133">
        <f>'BALANCE SHEET'!K65-'BALANCE SHEET'!J65</f>
        <v>8984.6391530570836</v>
      </c>
      <c r="L14" s="133">
        <f>'BALANCE SHEET'!L65-'BALANCE SHEET'!K65</f>
        <v>5845.8962006874935</v>
      </c>
    </row>
    <row r="15" spans="1:13" ht="14.25" customHeight="1" x14ac:dyDescent="0.3">
      <c r="B15" s="132" t="s">
        <v>249</v>
      </c>
      <c r="C15" s="136"/>
      <c r="D15" s="133">
        <f>(('BALANCE SHEET'!D32+'BALANCE SHEET'!D33+'BALANCE SHEET'!D35+'BALANCE SHEET'!D31)-('BALANCE SHEET'!C32+'BALANCE SHEET'!C33+'BALANCE SHEET'!C35+'BALANCE SHEET'!C31))-('BALANCE SHEET'!D66-'BALANCE SHEET'!C66)-('BALANCE SHEET'!D54-'BALANCE SHEET'!C54)-('BALANCE SHEET'!D69-'BALANCE SHEET'!C69)</f>
        <v>-740.03000000000077</v>
      </c>
      <c r="E15" s="133">
        <f>(('BALANCE SHEET'!E32+'BALANCE SHEET'!E33+'BALANCE SHEET'!E35+'BALANCE SHEET'!E31)-('BALANCE SHEET'!D32+'BALANCE SHEET'!D33+'BALANCE SHEET'!D35+'BALANCE SHEET'!D31))-('BALANCE SHEET'!E66-'BALANCE SHEET'!D66)-('BALANCE SHEET'!E54-'BALANCE SHEET'!D54)-('BALANCE SHEET'!E69-'BALANCE SHEET'!D69)</f>
        <v>-1818.2999999999993</v>
      </c>
      <c r="F15" s="133">
        <f>(('BALANCE SHEET'!F32+'BALANCE SHEET'!F33+'BALANCE SHEET'!F35+'BALANCE SHEET'!F31)-('BALANCE SHEET'!E32+'BALANCE SHEET'!E33+'BALANCE SHEET'!E35+'BALANCE SHEET'!E31))-('BALANCE SHEET'!F66-'BALANCE SHEET'!E66)-('BALANCE SHEET'!F54-'BALANCE SHEET'!E54)-('BALANCE SHEET'!F69-'BALANCE SHEET'!E69)</f>
        <v>-479.55000000000018</v>
      </c>
      <c r="G15" s="133">
        <f>(('BALANCE SHEET'!G32+'BALANCE SHEET'!G33+'BALANCE SHEET'!G35+'BALANCE SHEET'!G31)-('BALANCE SHEET'!F32+'BALANCE SHEET'!F33+'BALANCE SHEET'!F35+'BALANCE SHEET'!F31))-('BALANCE SHEET'!G66-'BALANCE SHEET'!F66)-('BALANCE SHEET'!G54-'BALANCE SHEET'!F54)-('BALANCE SHEET'!G69-'BALANCE SHEET'!F69)</f>
        <v>-1504.51</v>
      </c>
      <c r="H15" s="133">
        <f>(('BALANCE SHEET'!H32+'BALANCE SHEET'!H33+'BALANCE SHEET'!H35+'BALANCE SHEET'!H31)-('BALANCE SHEET'!G32+'BALANCE SHEET'!G33+'BALANCE SHEET'!G35+'BALANCE SHEET'!G31))-('BALANCE SHEET'!H66-'BALANCE SHEET'!G66)-('BALANCE SHEET'!H54-'BALANCE SHEET'!G54)-('BALANCE SHEET'!H69-'BALANCE SHEET'!G69)</f>
        <v>2002.9946700634837</v>
      </c>
      <c r="I15" s="133">
        <f>(('BALANCE SHEET'!I32+'BALANCE SHEET'!I33+'BALANCE SHEET'!I35+'BALANCE SHEET'!I31)-('BALANCE SHEET'!H32+'BALANCE SHEET'!H33+'BALANCE SHEET'!H35+'BALANCE SHEET'!H31))-('BALANCE SHEET'!I66-'BALANCE SHEET'!H66)-('BALANCE SHEET'!I54-'BALANCE SHEET'!H54)-('BALANCE SHEET'!I69-'BALANCE SHEET'!H69)</f>
        <v>-194.06108696240133</v>
      </c>
      <c r="J15" s="133">
        <f>(('BALANCE SHEET'!J32+'BALANCE SHEET'!J33+'BALANCE SHEET'!J35+'BALANCE SHEET'!J31)-('BALANCE SHEET'!I32+'BALANCE SHEET'!I33+'BALANCE SHEET'!I35+'BALANCE SHEET'!I31))-('BALANCE SHEET'!J66-'BALANCE SHEET'!I66)-('BALANCE SHEET'!J54-'BALANCE SHEET'!I54)-('BALANCE SHEET'!J69-'BALANCE SHEET'!I69)</f>
        <v>317.0672326258499</v>
      </c>
      <c r="K15" s="133">
        <f>(('BALANCE SHEET'!K32+'BALANCE SHEET'!K33+'BALANCE SHEET'!K35+'BALANCE SHEET'!K31)-('BALANCE SHEET'!J32+'BALANCE SHEET'!J33+'BALANCE SHEET'!J35+'BALANCE SHEET'!J31))-('BALANCE SHEET'!K66-'BALANCE SHEET'!J66)-('BALANCE SHEET'!K54-'BALANCE SHEET'!J54)-('BALANCE SHEET'!K69-'BALANCE SHEET'!J69)</f>
        <v>1475.8166541073006</v>
      </c>
      <c r="L15" s="133">
        <f>(('BALANCE SHEET'!L32+'BALANCE SHEET'!L33+'BALANCE SHEET'!L35+'BALANCE SHEET'!L31)-('BALANCE SHEET'!K32+'BALANCE SHEET'!K33+'BALANCE SHEET'!K35+'BALANCE SHEET'!K31))-('BALANCE SHEET'!L66-'BALANCE SHEET'!K66)-('BALANCE SHEET'!L54-'BALANCE SHEET'!K54)-('BALANCE SHEET'!L69-'BALANCE SHEET'!K69)</f>
        <v>889.87924211492862</v>
      </c>
    </row>
    <row r="16" spans="1:13" ht="14.25" customHeight="1" x14ac:dyDescent="0.3">
      <c r="B16" s="128" t="s">
        <v>250</v>
      </c>
      <c r="C16" s="137">
        <f t="shared" ref="C16:L16" si="1">-C11-C12+C13+C14-C15</f>
        <v>0</v>
      </c>
      <c r="D16" s="138">
        <f t="shared" si="1"/>
        <v>3224.5799999999986</v>
      </c>
      <c r="E16" s="138">
        <f t="shared" si="1"/>
        <v>1087.3400000000011</v>
      </c>
      <c r="F16" s="138">
        <f t="shared" si="1"/>
        <v>-364.49000000000035</v>
      </c>
      <c r="G16" s="138">
        <f t="shared" si="1"/>
        <v>540.00999999999885</v>
      </c>
      <c r="H16" s="138">
        <f t="shared" si="1"/>
        <v>-10527.081900923768</v>
      </c>
      <c r="I16" s="138">
        <f t="shared" si="1"/>
        <v>6152.4136991294436</v>
      </c>
      <c r="J16" s="138">
        <f t="shared" si="1"/>
        <v>10353.269796235178</v>
      </c>
      <c r="K16" s="138">
        <f t="shared" si="1"/>
        <v>7422.4558796060319</v>
      </c>
      <c r="L16" s="138">
        <f t="shared" si="1"/>
        <v>4677.8639315621404</v>
      </c>
    </row>
    <row r="17" spans="1:13" ht="6" customHeight="1" x14ac:dyDescent="0.3">
      <c r="C17" s="135"/>
      <c r="D17" s="135"/>
      <c r="E17" s="135"/>
      <c r="F17" s="135"/>
      <c r="G17" s="135"/>
      <c r="H17" s="135"/>
      <c r="I17" s="135"/>
      <c r="J17" s="135"/>
      <c r="K17" s="135"/>
      <c r="L17" s="135"/>
    </row>
    <row r="18" spans="1:13" ht="14.25" customHeight="1" x14ac:dyDescent="0.3">
      <c r="B18" s="128" t="s">
        <v>251</v>
      </c>
      <c r="C18" s="138">
        <f t="shared" ref="C18:L18" si="2">C6+C7-C8+C16</f>
        <v>184.67378937007828</v>
      </c>
      <c r="D18" s="138">
        <f t="shared" si="2"/>
        <v>3531.2834128822678</v>
      </c>
      <c r="E18" s="138">
        <f t="shared" si="2"/>
        <v>1589.4400689134075</v>
      </c>
      <c r="F18" s="138">
        <f t="shared" si="2"/>
        <v>379.91346350421247</v>
      </c>
      <c r="G18" s="138">
        <f t="shared" si="2"/>
        <v>1625.8314326514851</v>
      </c>
      <c r="H18" s="138">
        <f t="shared" si="2"/>
        <v>-9450.8293437053526</v>
      </c>
      <c r="I18" s="138">
        <f t="shared" si="2"/>
        <v>7861.1475475675816</v>
      </c>
      <c r="J18" s="138">
        <f t="shared" si="2"/>
        <v>12352.262402271794</v>
      </c>
      <c r="K18" s="138">
        <f t="shared" si="2"/>
        <v>9693.8400085245121</v>
      </c>
      <c r="L18" s="138">
        <f t="shared" si="2"/>
        <v>7376.3918601278765</v>
      </c>
    </row>
    <row r="19" spans="1:13" ht="14.25" customHeight="1" x14ac:dyDescent="0.3">
      <c r="B19" s="132" t="s">
        <v>252</v>
      </c>
      <c r="C19" s="139"/>
      <c r="D19" s="134">
        <f t="shared" ref="D19:L19" si="3">D18/C18-1</f>
        <v>18.121735818209313</v>
      </c>
      <c r="E19" s="134">
        <f t="shared" si="3"/>
        <v>-0.54989733672605712</v>
      </c>
      <c r="F19" s="134">
        <f t="shared" si="3"/>
        <v>-0.76097654077392574</v>
      </c>
      <c r="G19" s="134">
        <f t="shared" si="3"/>
        <v>3.2794783255515183</v>
      </c>
      <c r="H19" s="134">
        <f t="shared" si="3"/>
        <v>-6.8129207948037269</v>
      </c>
      <c r="I19" s="134">
        <f t="shared" si="3"/>
        <v>-1.8317944660384153</v>
      </c>
      <c r="J19" s="134">
        <f t="shared" si="3"/>
        <v>0.571305248696657</v>
      </c>
      <c r="K19" s="134">
        <f t="shared" si="3"/>
        <v>-0.2152174482027156</v>
      </c>
      <c r="L19" s="134">
        <f t="shared" si="3"/>
        <v>-0.23906399799859823</v>
      </c>
    </row>
    <row r="20" spans="1:13" ht="14.25" customHeight="1" x14ac:dyDescent="0.3">
      <c r="B20" s="132" t="s">
        <v>253</v>
      </c>
      <c r="C20" s="134">
        <f>C18/'INCOME STATEMENT'!C9</f>
        <v>4.562302408952925E-2</v>
      </c>
      <c r="D20" s="134">
        <f>D18/'INCOME STATEMENT'!D9</f>
        <v>0.61592725505858203</v>
      </c>
      <c r="E20" s="134">
        <f>E18/'INCOME STATEMENT'!E9</f>
        <v>0.20306675825947626</v>
      </c>
      <c r="F20" s="134">
        <f>F18/'INCOME STATEMENT'!F9</f>
        <v>4.013207129757658E-2</v>
      </c>
      <c r="G20" s="134">
        <f>G18/'INCOME STATEMENT'!G9</f>
        <v>0.14221907793394306</v>
      </c>
      <c r="H20" s="134">
        <f>H18/'INCOME STATEMENT'!H9</f>
        <v>-0.74505775382003414</v>
      </c>
      <c r="I20" s="134">
        <f>I18/'INCOME STATEMENT'!I9</f>
        <v>0.57768258687046536</v>
      </c>
      <c r="J20" s="134">
        <f>J18/'INCOME STATEMENT'!J9</f>
        <v>0.83740458077737545</v>
      </c>
      <c r="K20" s="134">
        <f>K18/'INCOME STATEMENT'!K9</f>
        <v>0.58076255507611108</v>
      </c>
      <c r="L20" s="134">
        <f>L18/'INCOME STATEMENT'!L9</f>
        <v>0.38443223446170394</v>
      </c>
    </row>
    <row r="21" spans="1:13" ht="6" customHeight="1" x14ac:dyDescent="0.3">
      <c r="C21" s="135"/>
      <c r="D21" s="135"/>
      <c r="E21" s="135"/>
      <c r="F21" s="135"/>
      <c r="G21" s="135"/>
      <c r="H21" s="135"/>
      <c r="I21" s="135"/>
      <c r="J21" s="135"/>
      <c r="K21" s="135"/>
      <c r="L21" s="135"/>
    </row>
    <row r="22" spans="1:13" ht="15.75" customHeight="1" x14ac:dyDescent="0.3">
      <c r="A22" s="129"/>
      <c r="B22" s="130" t="s">
        <v>254</v>
      </c>
      <c r="C22" s="140"/>
      <c r="D22" s="140"/>
      <c r="E22" s="140"/>
      <c r="F22" s="140"/>
      <c r="G22" s="140"/>
      <c r="H22" s="140"/>
      <c r="I22" s="140"/>
      <c r="J22" s="140"/>
      <c r="K22" s="140"/>
      <c r="L22" s="140"/>
      <c r="M22" s="131"/>
    </row>
    <row r="23" spans="1:13" ht="14.25" customHeight="1" x14ac:dyDescent="0.3">
      <c r="B23" s="132" t="s">
        <v>107</v>
      </c>
      <c r="C23" s="133">
        <f>'INCOME STATEMENT'!C9</f>
        <v>4047.8199999999997</v>
      </c>
      <c r="D23" s="133">
        <f>'INCOME STATEMENT'!D9</f>
        <v>5733.2800000000007</v>
      </c>
      <c r="E23" s="133">
        <f>'INCOME STATEMENT'!E9</f>
        <v>7827.18</v>
      </c>
      <c r="F23" s="133">
        <f>'INCOME STATEMENT'!F9</f>
        <v>9466.58</v>
      </c>
      <c r="G23" s="133">
        <f>'INCOME STATEMENT'!G9</f>
        <v>11431.880000000001</v>
      </c>
      <c r="H23" s="133">
        <f>'INCOME STATEMENT'!H9</f>
        <v>12684.693629788282</v>
      </c>
      <c r="I23" s="133">
        <f>'INCOME STATEMENT'!I9</f>
        <v>13608.074271642014</v>
      </c>
      <c r="J23" s="133">
        <f>'INCOME STATEMENT'!J9</f>
        <v>14750.650624343372</v>
      </c>
      <c r="K23" s="133">
        <f>'INCOME STATEMENT'!K9</f>
        <v>16691.572009586773</v>
      </c>
      <c r="L23" s="133">
        <f>'INCOME STATEMENT'!L9</f>
        <v>19187.755861462996</v>
      </c>
    </row>
    <row r="24" spans="1:13" ht="14.25" customHeight="1" x14ac:dyDescent="0.3">
      <c r="B24" s="132" t="s">
        <v>123</v>
      </c>
      <c r="C24" s="138">
        <f>'INCOME STATEMENT'!C29</f>
        <v>223.86999999999944</v>
      </c>
      <c r="D24" s="138">
        <f>'INCOME STATEMENT'!D29</f>
        <v>434.70000000000073</v>
      </c>
      <c r="E24" s="138">
        <f>'INCOME STATEMENT'!E29</f>
        <v>797.79999999999927</v>
      </c>
      <c r="F24" s="138">
        <f>'INCOME STATEMENT'!F29</f>
        <v>1411.6099999999997</v>
      </c>
      <c r="G24" s="138">
        <f>'INCOME STATEMENT'!G29</f>
        <v>2060.0200000000004</v>
      </c>
      <c r="H24" s="138">
        <f>'INCOME STATEMENT'!H29</f>
        <v>1817.3299012961488</v>
      </c>
      <c r="I24" s="138">
        <f>'INCOME STATEMENT'!I29</f>
        <v>2442.4462819666678</v>
      </c>
      <c r="J24" s="138">
        <f>'INCOME STATEMENT'!J29</f>
        <v>2729.2047938968135</v>
      </c>
      <c r="K24" s="138">
        <f>'INCOME STATEMENT'!K29</f>
        <v>2892.1519159503259</v>
      </c>
      <c r="L24" s="138">
        <f>'INCOME STATEMENT'!L29</f>
        <v>3448.9911349506019</v>
      </c>
    </row>
    <row r="25" spans="1:13" ht="14.25" customHeight="1" x14ac:dyDescent="0.3">
      <c r="B25" s="132" t="s">
        <v>255</v>
      </c>
      <c r="C25" s="134">
        <f t="shared" ref="C25:L25" si="4">C24/C23</f>
        <v>5.5306313027753073E-2</v>
      </c>
      <c r="D25" s="134">
        <f t="shared" si="4"/>
        <v>7.582047274858382E-2</v>
      </c>
      <c r="E25" s="134">
        <f t="shared" si="4"/>
        <v>0.10192687532419073</v>
      </c>
      <c r="F25" s="134">
        <f t="shared" si="4"/>
        <v>0.14911509753258301</v>
      </c>
      <c r="G25" s="134">
        <f t="shared" si="4"/>
        <v>0.18019958222094706</v>
      </c>
      <c r="H25" s="134">
        <f t="shared" si="4"/>
        <v>0.14326951476607966</v>
      </c>
      <c r="I25" s="134">
        <f t="shared" si="4"/>
        <v>0.17948507872686315</v>
      </c>
      <c r="J25" s="134">
        <f t="shared" si="4"/>
        <v>0.1850226721113398</v>
      </c>
      <c r="K25" s="134">
        <f t="shared" si="4"/>
        <v>0.17327019374144173</v>
      </c>
      <c r="L25" s="134">
        <f t="shared" si="4"/>
        <v>0.17974958404998326</v>
      </c>
    </row>
    <row r="26" spans="1:13" ht="14.25" customHeight="1" x14ac:dyDescent="0.3">
      <c r="B26" s="132" t="s">
        <v>128</v>
      </c>
      <c r="C26" s="133">
        <f>'INCOME STATEMENT'!C36</f>
        <v>164.21999999999943</v>
      </c>
      <c r="D26" s="133">
        <f>'INCOME STATEMENT'!D36</f>
        <v>360.19000000000074</v>
      </c>
      <c r="E26" s="133">
        <f>'INCOME STATEMENT'!E36</f>
        <v>722.21999999999923</v>
      </c>
      <c r="F26" s="133">
        <f>'INCOME STATEMENT'!F36</f>
        <v>1328.4799999999996</v>
      </c>
      <c r="G26" s="133">
        <f>'INCOME STATEMENT'!G36</f>
        <v>1944.8300000000004</v>
      </c>
      <c r="H26" s="133">
        <f>'INCOME STATEMENT'!H36</f>
        <v>1716.5362239904973</v>
      </c>
      <c r="I26" s="133">
        <f>'INCOME STATEMENT'!I36</f>
        <v>2336.9731984928603</v>
      </c>
      <c r="J26" s="133">
        <f>'INCOME STATEMENT'!J36</f>
        <v>2618.9494237171348</v>
      </c>
      <c r="K26" s="133">
        <f>'INCOME STATEMENT'!K36</f>
        <v>2783.7527823119631</v>
      </c>
      <c r="L26" s="133">
        <f>'INCOME STATEMENT'!L36</f>
        <v>3338.7180943749518</v>
      </c>
    </row>
    <row r="27" spans="1:13" ht="14.25" customHeight="1" x14ac:dyDescent="0.3">
      <c r="B27" s="132" t="s">
        <v>256</v>
      </c>
      <c r="C27" s="134">
        <f t="shared" ref="C27:L27" si="5">C26/C23</f>
        <v>4.0569985819527407E-2</v>
      </c>
      <c r="D27" s="134">
        <f t="shared" si="5"/>
        <v>6.2824421622526841E-2</v>
      </c>
      <c r="E27" s="134">
        <f t="shared" si="5"/>
        <v>9.227077951446104E-2</v>
      </c>
      <c r="F27" s="134">
        <f t="shared" si="5"/>
        <v>0.14033367911114675</v>
      </c>
      <c r="G27" s="134">
        <f t="shared" si="5"/>
        <v>0.17012337428314506</v>
      </c>
      <c r="H27" s="134">
        <f t="shared" si="5"/>
        <v>0.1353234279115299</v>
      </c>
      <c r="I27" s="134">
        <f t="shared" si="5"/>
        <v>0.17173430654790733</v>
      </c>
      <c r="J27" s="134">
        <f t="shared" si="5"/>
        <v>0.17754806146618485</v>
      </c>
      <c r="K27" s="134">
        <f t="shared" si="5"/>
        <v>0.16677595020487704</v>
      </c>
      <c r="L27" s="134">
        <f t="shared" si="5"/>
        <v>0.17400253153525305</v>
      </c>
    </row>
    <row r="28" spans="1:13" ht="14.25" customHeight="1" x14ac:dyDescent="0.3">
      <c r="B28" s="132" t="s">
        <v>127</v>
      </c>
      <c r="C28" s="133">
        <f>'INCOME STATEMENT'!C34</f>
        <v>59.65</v>
      </c>
      <c r="D28" s="133">
        <f>'INCOME STATEMENT'!D34</f>
        <v>74.509999999999991</v>
      </c>
      <c r="E28" s="133">
        <f>'INCOME STATEMENT'!E34</f>
        <v>75.580000000000013</v>
      </c>
      <c r="F28" s="133">
        <f>'INCOME STATEMENT'!F34</f>
        <v>83.13000000000001</v>
      </c>
      <c r="G28" s="133">
        <f>'INCOME STATEMENT'!G34</f>
        <v>115.19</v>
      </c>
      <c r="H28" s="133">
        <f>'INCOME STATEMENT'!H34</f>
        <v>100.79367730565158</v>
      </c>
      <c r="I28" s="133">
        <f>'INCOME STATEMENT'!I34</f>
        <v>105.47308347380741</v>
      </c>
      <c r="J28" s="133">
        <f>'INCOME STATEMENT'!J34</f>
        <v>110.25537017967892</v>
      </c>
      <c r="K28" s="133">
        <f>'INCOME STATEMENT'!K34</f>
        <v>108.39913363836287</v>
      </c>
      <c r="L28" s="133">
        <f>'INCOME STATEMENT'!L34</f>
        <v>110.27304057564999</v>
      </c>
    </row>
    <row r="29" spans="1:13" ht="14.25" customHeight="1" x14ac:dyDescent="0.3">
      <c r="B29" s="132" t="s">
        <v>257</v>
      </c>
      <c r="C29" s="133">
        <f t="shared" ref="C29:L29" si="6">C8</f>
        <v>0</v>
      </c>
      <c r="D29" s="133">
        <f t="shared" si="6"/>
        <v>41.189999999999991</v>
      </c>
      <c r="E29" s="133">
        <f t="shared" si="6"/>
        <v>115.51</v>
      </c>
      <c r="F29" s="133">
        <f t="shared" si="6"/>
        <v>334.76</v>
      </c>
      <c r="G29" s="133">
        <f t="shared" si="6"/>
        <v>483.6</v>
      </c>
      <c r="H29" s="133">
        <f t="shared" si="6"/>
        <v>310.79999999999995</v>
      </c>
      <c r="I29" s="133">
        <f t="shared" si="6"/>
        <v>147</v>
      </c>
      <c r="J29" s="133">
        <f t="shared" si="6"/>
        <v>72.000000000000057</v>
      </c>
      <c r="K29" s="133">
        <f t="shared" si="6"/>
        <v>-78</v>
      </c>
      <c r="L29" s="133">
        <f t="shared" si="6"/>
        <v>-88</v>
      </c>
    </row>
    <row r="30" spans="1:13" ht="14.25" customHeight="1" x14ac:dyDescent="0.3">
      <c r="B30" s="132" t="s">
        <v>258</v>
      </c>
      <c r="C30" s="134">
        <f t="shared" ref="C30:L30" si="7">C5</f>
        <v>0.23868110236220491</v>
      </c>
      <c r="D30" s="134">
        <f t="shared" si="7"/>
        <v>0.24100221304792327</v>
      </c>
      <c r="E30" s="134">
        <f t="shared" si="7"/>
        <v>0.24949451841072401</v>
      </c>
      <c r="F30" s="134">
        <f t="shared" si="7"/>
        <v>0.25024579707318662</v>
      </c>
      <c r="G30" s="134">
        <f t="shared" si="7"/>
        <v>0.25225781551524501</v>
      </c>
      <c r="H30" s="134">
        <f t="shared" si="7"/>
        <v>0.25066604366638523</v>
      </c>
      <c r="I30" s="134">
        <f t="shared" si="7"/>
        <v>0.25105655208493899</v>
      </c>
      <c r="J30" s="134">
        <f t="shared" si="7"/>
        <v>0.25132680375552313</v>
      </c>
      <c r="K30" s="134">
        <f t="shared" si="7"/>
        <v>0.25101646650228249</v>
      </c>
      <c r="L30" s="134">
        <f t="shared" si="7"/>
        <v>0.25113327411424818</v>
      </c>
    </row>
    <row r="31" spans="1:13" ht="14.25" customHeight="1" x14ac:dyDescent="0.3">
      <c r="C31" s="135"/>
      <c r="D31" s="135"/>
      <c r="E31" s="135"/>
      <c r="F31" s="135"/>
      <c r="G31" s="135"/>
      <c r="H31" s="135"/>
      <c r="I31" s="135"/>
      <c r="J31" s="135"/>
      <c r="K31" s="135"/>
      <c r="L31" s="135"/>
    </row>
    <row r="32" spans="1: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H1000"/>
  <sheetViews>
    <sheetView showGridLines="0" zoomScaleNormal="100" workbookViewId="0">
      <selection activeCell="Q23" sqref="Q23"/>
    </sheetView>
  </sheetViews>
  <sheetFormatPr defaultColWidth="12.6640625" defaultRowHeight="14.4" x14ac:dyDescent="0.3"/>
  <cols>
    <col min="1" max="1" width="3" customWidth="1"/>
    <col min="2" max="2" width="52" customWidth="1"/>
    <col min="3" max="3" width="3" customWidth="1"/>
    <col min="4" max="5" width="22" customWidth="1"/>
    <col min="6" max="6" width="3" customWidth="1"/>
    <col min="7" max="26" width="40" customWidth="1"/>
  </cols>
  <sheetData>
    <row r="1" spans="1:8" ht="21.75" customHeight="1" x14ac:dyDescent="0.35">
      <c r="B1" s="1" t="s">
        <v>647</v>
      </c>
      <c r="C1" s="471"/>
      <c r="D1" s="471"/>
      <c r="E1" s="471"/>
      <c r="F1" s="471"/>
      <c r="G1" s="471"/>
      <c r="H1" s="471"/>
    </row>
    <row r="2" spans="1:8" ht="16.5" customHeight="1" x14ac:dyDescent="0.3">
      <c r="B2" s="472" t="s">
        <v>648</v>
      </c>
      <c r="D2" s="472" t="s">
        <v>649</v>
      </c>
      <c r="E2" s="472" t="s">
        <v>650</v>
      </c>
      <c r="F2" s="473"/>
      <c r="G2" s="474" t="s">
        <v>651</v>
      </c>
      <c r="H2" s="474" t="s">
        <v>652</v>
      </c>
    </row>
    <row r="3" spans="1:8" ht="15.75" customHeight="1" x14ac:dyDescent="0.3"/>
    <row r="4" spans="1:8" ht="16.5" customHeight="1" x14ac:dyDescent="0.3">
      <c r="A4" s="475"/>
      <c r="B4" s="476" t="s">
        <v>653</v>
      </c>
      <c r="C4" s="477"/>
      <c r="D4" s="477"/>
      <c r="E4" s="477"/>
      <c r="F4" s="477"/>
      <c r="G4" s="477"/>
      <c r="H4" s="477"/>
    </row>
    <row r="5" spans="1:8" ht="21.75" customHeight="1" x14ac:dyDescent="0.3">
      <c r="B5" s="5" t="s">
        <v>654</v>
      </c>
      <c r="D5" s="478">
        <v>6.6699999999999995E-2</v>
      </c>
      <c r="E5" s="478">
        <v>6.6699999999999995E-2</v>
      </c>
      <c r="G5" s="6" t="s">
        <v>655</v>
      </c>
      <c r="H5" s="6" t="s">
        <v>656</v>
      </c>
    </row>
    <row r="6" spans="1:8" ht="15.75" customHeight="1" x14ac:dyDescent="0.3">
      <c r="B6" s="6" t="s">
        <v>657</v>
      </c>
      <c r="D6" s="479" t="s">
        <v>658</v>
      </c>
      <c r="E6" s="479" t="s">
        <v>658</v>
      </c>
      <c r="G6" s="6" t="s">
        <v>659</v>
      </c>
      <c r="H6" s="6" t="s">
        <v>660</v>
      </c>
    </row>
    <row r="7" spans="1:8" ht="15.75" customHeight="1" x14ac:dyDescent="0.3"/>
    <row r="8" spans="1:8" ht="16.5" customHeight="1" x14ac:dyDescent="0.3">
      <c r="A8" s="475"/>
      <c r="B8" s="476" t="s">
        <v>661</v>
      </c>
      <c r="C8" s="477"/>
      <c r="D8" s="477"/>
      <c r="E8" s="477"/>
      <c r="F8" s="477"/>
      <c r="G8" s="477"/>
      <c r="H8" s="477"/>
    </row>
    <row r="9" spans="1:8" ht="21.75" customHeight="1" x14ac:dyDescent="0.3">
      <c r="B9" s="5" t="s">
        <v>662</v>
      </c>
      <c r="D9" s="478">
        <v>7.0800000000000002E-2</v>
      </c>
      <c r="E9" s="478">
        <v>7.0800000000000002E-2</v>
      </c>
      <c r="G9" s="6" t="s">
        <v>663</v>
      </c>
      <c r="H9" s="6" t="s">
        <v>664</v>
      </c>
    </row>
    <row r="10" spans="1:8" ht="21.75" customHeight="1" x14ac:dyDescent="0.3">
      <c r="B10" s="6" t="s">
        <v>665</v>
      </c>
      <c r="D10" s="480">
        <v>2.8500000000000001E-2</v>
      </c>
      <c r="E10" s="480">
        <v>2.8500000000000001E-2</v>
      </c>
      <c r="G10" s="6" t="s">
        <v>666</v>
      </c>
      <c r="H10" s="6" t="s">
        <v>667</v>
      </c>
    </row>
    <row r="11" spans="1:8" ht="21.75" customHeight="1" x14ac:dyDescent="0.3">
      <c r="B11" s="6" t="s">
        <v>668</v>
      </c>
      <c r="D11" s="480">
        <v>4.2299999999999997E-2</v>
      </c>
      <c r="E11" s="480">
        <v>4.2299999999999997E-2</v>
      </c>
      <c r="G11" s="6" t="s">
        <v>669</v>
      </c>
      <c r="H11" s="6" t="s">
        <v>670</v>
      </c>
    </row>
    <row r="12" spans="1:8" ht="21.75" customHeight="1" x14ac:dyDescent="0.3">
      <c r="B12" s="6" t="s">
        <v>671</v>
      </c>
      <c r="D12" s="480">
        <v>5.2299999999999999E-2</v>
      </c>
      <c r="E12" s="480">
        <v>5.2299999999999999E-2</v>
      </c>
      <c r="G12" s="6" t="s">
        <v>672</v>
      </c>
      <c r="H12" s="6" t="s">
        <v>673</v>
      </c>
    </row>
    <row r="13" spans="1:8" ht="15.75" customHeight="1" x14ac:dyDescent="0.3">
      <c r="A13" s="475"/>
      <c r="B13" s="475"/>
      <c r="C13" s="475"/>
      <c r="D13" s="475"/>
      <c r="E13" s="475"/>
      <c r="F13" s="475"/>
      <c r="G13" s="475"/>
    </row>
    <row r="14" spans="1:8" ht="16.5" customHeight="1" x14ac:dyDescent="0.3">
      <c r="B14" s="476" t="s">
        <v>674</v>
      </c>
      <c r="C14" s="477"/>
      <c r="D14" s="477"/>
      <c r="E14" s="477"/>
      <c r="F14" s="477"/>
      <c r="G14" s="477"/>
      <c r="H14" s="477"/>
    </row>
    <row r="15" spans="1:8" ht="15.75" customHeight="1" x14ac:dyDescent="0.3">
      <c r="B15" s="5" t="s">
        <v>675</v>
      </c>
    </row>
    <row r="16" spans="1:8" ht="21.75" customHeight="1" x14ac:dyDescent="0.3">
      <c r="B16" s="6" t="s">
        <v>676</v>
      </c>
      <c r="D16" s="481">
        <v>2.3637000000000001</v>
      </c>
      <c r="G16" s="6" t="s">
        <v>677</v>
      </c>
      <c r="H16" s="6" t="s">
        <v>678</v>
      </c>
    </row>
    <row r="17" spans="1:8" ht="21.75" customHeight="1" x14ac:dyDescent="0.3">
      <c r="B17" s="6" t="s">
        <v>679</v>
      </c>
      <c r="D17" s="481">
        <v>1.9471000000000001</v>
      </c>
      <c r="G17" s="6" t="s">
        <v>677</v>
      </c>
      <c r="H17" s="6" t="s">
        <v>678</v>
      </c>
    </row>
    <row r="18" spans="1:8" ht="21.75" customHeight="1" x14ac:dyDescent="0.3">
      <c r="B18" s="5" t="s">
        <v>680</v>
      </c>
      <c r="D18" s="482">
        <v>1.9471000000000001</v>
      </c>
      <c r="G18" s="6" t="s">
        <v>681</v>
      </c>
      <c r="H18" s="6" t="s">
        <v>682</v>
      </c>
    </row>
    <row r="19" spans="1:8" ht="15.75" customHeight="1" x14ac:dyDescent="0.3">
      <c r="B19" s="131"/>
    </row>
    <row r="20" spans="1:8" ht="15.75" customHeight="1" x14ac:dyDescent="0.3">
      <c r="B20" s="5" t="s">
        <v>683</v>
      </c>
    </row>
    <row r="21" spans="1:8" ht="15.75" customHeight="1" x14ac:dyDescent="0.3">
      <c r="B21" s="6" t="s">
        <v>684</v>
      </c>
      <c r="E21" s="479" t="s">
        <v>685</v>
      </c>
      <c r="G21" s="6" t="s">
        <v>686</v>
      </c>
      <c r="H21" s="6" t="s">
        <v>687</v>
      </c>
    </row>
    <row r="22" spans="1:8" ht="21.75" customHeight="1" x14ac:dyDescent="0.3">
      <c r="B22" s="6" t="s">
        <v>688</v>
      </c>
      <c r="D22" s="483"/>
      <c r="E22" s="481">
        <v>0.87</v>
      </c>
      <c r="G22" s="6" t="s">
        <v>689</v>
      </c>
      <c r="H22" s="6" t="s">
        <v>690</v>
      </c>
    </row>
    <row r="23" spans="1:8" ht="21.75" customHeight="1" x14ac:dyDescent="0.3">
      <c r="B23" s="6" t="s">
        <v>691</v>
      </c>
      <c r="D23" s="484">
        <f>('BALANCE SHEET'!H48+'BALANCE SHEET'!H61)/'BALANCE SHEET'!H45</f>
        <v>2.9998974460303217E-3</v>
      </c>
      <c r="E23" s="484">
        <f>('BALANCE SHEET'!H48+'BALANCE SHEET'!H61)/'BALANCE SHEET'!H45</f>
        <v>2.9998974460303217E-3</v>
      </c>
      <c r="G23" s="6" t="s">
        <v>692</v>
      </c>
      <c r="H23" s="6" t="s">
        <v>693</v>
      </c>
    </row>
    <row r="24" spans="1:8" ht="21.75" customHeight="1" x14ac:dyDescent="0.3">
      <c r="B24" s="6" t="s">
        <v>694</v>
      </c>
      <c r="D24" s="485">
        <f>AVERAGE(ABS('INCOME STATEMENT'!E58/'INCOME STATEMENT'!E53),ABS('INCOME STATEMENT'!F58/'INCOME STATEMENT'!F53),ABS('INCOME STATEMENT'!G58/'INCOME STATEMENT'!G53))</f>
        <v>0.25066604366638523</v>
      </c>
      <c r="E24" s="485">
        <f>D24</f>
        <v>0.25066604366638523</v>
      </c>
      <c r="G24" s="6" t="s">
        <v>695</v>
      </c>
      <c r="H24" s="6" t="s">
        <v>696</v>
      </c>
    </row>
    <row r="25" spans="1:8" ht="21.75" customHeight="1" x14ac:dyDescent="0.3">
      <c r="B25" s="6" t="s">
        <v>697</v>
      </c>
      <c r="E25" s="484">
        <f>E22*(1+(1-E24)*E23)</f>
        <v>0.87195569476899126</v>
      </c>
      <c r="G25" s="6" t="s">
        <v>698</v>
      </c>
      <c r="H25" s="6" t="s">
        <v>699</v>
      </c>
    </row>
    <row r="26" spans="1:8" ht="15.75" customHeight="1" x14ac:dyDescent="0.3">
      <c r="B26" s="5" t="s">
        <v>700</v>
      </c>
      <c r="E26" s="486">
        <f>E25</f>
        <v>0.87195569476899126</v>
      </c>
      <c r="G26" s="6" t="s">
        <v>701</v>
      </c>
    </row>
    <row r="27" spans="1:8" ht="15.75" customHeight="1" x14ac:dyDescent="0.3">
      <c r="A27" s="475"/>
      <c r="B27" s="475"/>
      <c r="C27" s="475"/>
      <c r="D27" s="475"/>
      <c r="E27" s="475"/>
      <c r="F27" s="475"/>
      <c r="G27" s="475"/>
    </row>
    <row r="28" spans="1:8" ht="16.5" customHeight="1" x14ac:dyDescent="0.3">
      <c r="B28" s="476" t="s">
        <v>702</v>
      </c>
      <c r="C28" s="477"/>
      <c r="D28" s="487"/>
      <c r="E28" s="477"/>
      <c r="F28" s="477"/>
      <c r="G28" s="477"/>
      <c r="H28" s="477"/>
    </row>
    <row r="29" spans="1:8" ht="21.75" customHeight="1" x14ac:dyDescent="0.3">
      <c r="B29" s="5" t="s">
        <v>703</v>
      </c>
      <c r="D29" s="488">
        <f>D5+D18*D9</f>
        <v>0.20455467999999999</v>
      </c>
      <c r="G29" s="6" t="s">
        <v>704</v>
      </c>
      <c r="H29" s="6" t="s">
        <v>705</v>
      </c>
    </row>
    <row r="30" spans="1:8" ht="21.75" customHeight="1" x14ac:dyDescent="0.3">
      <c r="B30" s="5" t="s">
        <v>706</v>
      </c>
      <c r="D30" s="488">
        <f>D5+E26*D9</f>
        <v>0.12843446318964458</v>
      </c>
      <c r="G30" s="6" t="s">
        <v>707</v>
      </c>
      <c r="H30" s="6" t="s">
        <v>708</v>
      </c>
    </row>
    <row r="31" spans="1:8" ht="15.75" customHeight="1" x14ac:dyDescent="0.3">
      <c r="A31" s="475"/>
      <c r="B31" s="475"/>
      <c r="C31" s="475"/>
      <c r="D31" s="475"/>
      <c r="E31" s="475"/>
      <c r="F31" s="475"/>
      <c r="G31" s="475"/>
    </row>
    <row r="32" spans="1:8" ht="16.5" customHeight="1" x14ac:dyDescent="0.3">
      <c r="B32" s="476" t="s">
        <v>709</v>
      </c>
      <c r="C32" s="477"/>
      <c r="D32" s="477"/>
      <c r="E32" s="477"/>
      <c r="F32" s="477"/>
      <c r="G32" s="477"/>
      <c r="H32" s="477"/>
    </row>
    <row r="33" spans="1:8" ht="21.75" customHeight="1" x14ac:dyDescent="0.3">
      <c r="B33" s="6" t="s">
        <v>710</v>
      </c>
      <c r="D33" s="480">
        <v>7.4999999999999997E-2</v>
      </c>
      <c r="E33" s="480">
        <v>7.4999999999999997E-2</v>
      </c>
      <c r="G33" s="6" t="s">
        <v>711</v>
      </c>
      <c r="H33" s="6" t="s">
        <v>712</v>
      </c>
    </row>
    <row r="34" spans="1:8" ht="15.75" customHeight="1" x14ac:dyDescent="0.3">
      <c r="B34" s="6" t="s">
        <v>713</v>
      </c>
      <c r="D34" s="485">
        <f>D24</f>
        <v>0.25066604366638523</v>
      </c>
      <c r="E34" s="485">
        <f>D24</f>
        <v>0.25066604366638523</v>
      </c>
      <c r="G34" s="6" t="s">
        <v>714</v>
      </c>
      <c r="H34" s="6" t="s">
        <v>696</v>
      </c>
    </row>
    <row r="35" spans="1:8" ht="15.75" customHeight="1" x14ac:dyDescent="0.3">
      <c r="B35" s="5" t="s">
        <v>715</v>
      </c>
      <c r="D35" s="488">
        <f>D33*(1-D34)</f>
        <v>5.6200046725021109E-2</v>
      </c>
      <c r="E35" s="488">
        <f>D33*(1-D34)</f>
        <v>5.6200046725021109E-2</v>
      </c>
      <c r="G35" s="6" t="s">
        <v>716</v>
      </c>
    </row>
    <row r="36" spans="1:8" ht="15.75" customHeight="1" x14ac:dyDescent="0.3">
      <c r="A36" s="475"/>
      <c r="B36" s="475"/>
      <c r="C36" s="475"/>
      <c r="D36" s="475"/>
      <c r="E36" s="475"/>
      <c r="F36" s="475"/>
      <c r="G36" s="475"/>
    </row>
    <row r="37" spans="1:8" ht="16.5" customHeight="1" x14ac:dyDescent="0.3">
      <c r="B37" s="476" t="s">
        <v>717</v>
      </c>
      <c r="C37" s="477"/>
      <c r="D37" s="477"/>
      <c r="E37" s="477"/>
      <c r="F37" s="477"/>
      <c r="G37" s="477"/>
      <c r="H37" s="477"/>
    </row>
    <row r="38" spans="1:8" ht="21.75" customHeight="1" x14ac:dyDescent="0.3">
      <c r="B38" s="6" t="s">
        <v>718</v>
      </c>
      <c r="D38" s="489">
        <v>103731.18</v>
      </c>
      <c r="E38" s="489">
        <v>103731.18</v>
      </c>
      <c r="G38" s="6" t="s">
        <v>719</v>
      </c>
      <c r="H38" s="6" t="s">
        <v>720</v>
      </c>
    </row>
    <row r="39" spans="1:8" ht="21.75" customHeight="1" x14ac:dyDescent="0.3">
      <c r="B39" s="6" t="s">
        <v>721</v>
      </c>
      <c r="D39" s="490">
        <f>'BALANCE SHEET'!H48+'BALANCE SHEET'!H61</f>
        <v>26.330000000000002</v>
      </c>
      <c r="E39" s="490">
        <f>'BALANCE SHEET'!H48+'BALANCE SHEET'!H61</f>
        <v>26.330000000000002</v>
      </c>
      <c r="G39" s="6" t="s">
        <v>722</v>
      </c>
      <c r="H39" s="6" t="s">
        <v>693</v>
      </c>
    </row>
    <row r="40" spans="1:8" ht="21.75" customHeight="1" x14ac:dyDescent="0.3">
      <c r="B40" s="5" t="s">
        <v>723</v>
      </c>
      <c r="D40" s="491">
        <f>D38+D39</f>
        <v>103757.51</v>
      </c>
      <c r="E40" s="491">
        <f>D38+D39</f>
        <v>103757.51</v>
      </c>
      <c r="G40" s="6" t="s">
        <v>724</v>
      </c>
    </row>
    <row r="41" spans="1:8" ht="21.75" customHeight="1" x14ac:dyDescent="0.3">
      <c r="B41" s="5" t="s">
        <v>725</v>
      </c>
      <c r="D41" s="488">
        <f>D38/D40</f>
        <v>0.99974623523636985</v>
      </c>
      <c r="E41" s="488">
        <f>D38/D40</f>
        <v>0.99974623523636985</v>
      </c>
      <c r="G41" s="6" t="s">
        <v>726</v>
      </c>
    </row>
    <row r="42" spans="1:8" ht="21.75" customHeight="1" x14ac:dyDescent="0.3">
      <c r="B42" s="5" t="s">
        <v>727</v>
      </c>
      <c r="D42" s="488">
        <f>D39/D40</f>
        <v>2.5376476363012183E-4</v>
      </c>
      <c r="E42" s="488">
        <f>D39/D40</f>
        <v>2.5376476363012183E-4</v>
      </c>
      <c r="G42" s="6" t="s">
        <v>728</v>
      </c>
    </row>
    <row r="43" spans="1:8" ht="15.75" customHeight="1" x14ac:dyDescent="0.3">
      <c r="A43" s="475"/>
      <c r="B43" s="475"/>
      <c r="C43" s="475"/>
      <c r="D43" s="475"/>
      <c r="E43" s="475"/>
      <c r="F43" s="475"/>
      <c r="G43" s="475"/>
    </row>
    <row r="44" spans="1:8" ht="16.5" customHeight="1" x14ac:dyDescent="0.3">
      <c r="B44" s="476" t="s">
        <v>729</v>
      </c>
      <c r="C44" s="477"/>
      <c r="D44" s="487"/>
      <c r="E44" s="477"/>
      <c r="F44" s="477"/>
      <c r="G44" s="477"/>
      <c r="H44" s="477"/>
    </row>
    <row r="45" spans="1:8" ht="21.75" customHeight="1" x14ac:dyDescent="0.3">
      <c r="B45" s="5" t="s">
        <v>730</v>
      </c>
      <c r="D45" s="488">
        <f>D41*D29+D42*D35</f>
        <v>0.20451703282155351</v>
      </c>
      <c r="G45" s="6" t="s">
        <v>731</v>
      </c>
    </row>
    <row r="46" spans="1:8" ht="21.75" customHeight="1" x14ac:dyDescent="0.3">
      <c r="B46" s="5" t="s">
        <v>732</v>
      </c>
      <c r="D46" s="488">
        <f>D41*D30+D42*D35</f>
        <v>0.12841613264002447</v>
      </c>
      <c r="E46" s="492"/>
      <c r="G46" s="6" t="s">
        <v>733</v>
      </c>
    </row>
    <row r="47" spans="1:8" ht="15.75" customHeight="1" x14ac:dyDescent="0.3">
      <c r="B47" s="5" t="s">
        <v>734</v>
      </c>
      <c r="D47" s="493">
        <f>AVERAGE(D45,D46)</f>
        <v>0.16646658273078899</v>
      </c>
      <c r="E47" s="493">
        <f>D47</f>
        <v>0.16646658273078899</v>
      </c>
      <c r="G47" s="6" t="s">
        <v>735</v>
      </c>
    </row>
    <row r="48" spans="1:8" ht="15.75" customHeight="1" x14ac:dyDescent="0.3"/>
    <row r="49" spans="2:8" ht="15.75" customHeight="1" x14ac:dyDescent="0.3"/>
    <row r="50" spans="2:8" ht="16.5" customHeight="1" x14ac:dyDescent="0.3">
      <c r="B50" s="476" t="s">
        <v>736</v>
      </c>
      <c r="C50" s="477"/>
      <c r="D50" s="477"/>
      <c r="E50" s="477"/>
      <c r="F50" s="477"/>
      <c r="G50" s="477"/>
      <c r="H50" s="477"/>
    </row>
    <row r="51" spans="2:8" ht="16.5" customHeight="1" x14ac:dyDescent="0.3">
      <c r="B51" s="494" t="s">
        <v>737</v>
      </c>
      <c r="C51" s="494" t="s">
        <v>738</v>
      </c>
      <c r="D51" s="494" t="s">
        <v>739</v>
      </c>
      <c r="E51" s="494" t="s">
        <v>740</v>
      </c>
      <c r="F51" s="494" t="s">
        <v>36</v>
      </c>
      <c r="G51" s="495" t="s">
        <v>741</v>
      </c>
      <c r="H51" s="4"/>
    </row>
    <row r="52" spans="2:8" ht="27.75" customHeight="1" x14ac:dyDescent="0.3">
      <c r="B52" s="496">
        <v>1</v>
      </c>
      <c r="C52" s="19" t="s">
        <v>742</v>
      </c>
      <c r="D52" s="496" t="s">
        <v>743</v>
      </c>
      <c r="E52" s="19" t="s">
        <v>744</v>
      </c>
      <c r="F52" s="497" t="s">
        <v>658</v>
      </c>
      <c r="G52" s="6" t="s">
        <v>745</v>
      </c>
    </row>
    <row r="53" spans="2:8" ht="27.75" customHeight="1" x14ac:dyDescent="0.3">
      <c r="B53" s="496">
        <v>2</v>
      </c>
      <c r="C53" s="19" t="s">
        <v>746</v>
      </c>
      <c r="D53" s="496" t="s">
        <v>747</v>
      </c>
      <c r="E53" s="19" t="s">
        <v>748</v>
      </c>
      <c r="F53" s="497" t="s">
        <v>749</v>
      </c>
      <c r="G53" s="6" t="s">
        <v>750</v>
      </c>
    </row>
    <row r="54" spans="2:8" ht="27.75" customHeight="1" x14ac:dyDescent="0.3">
      <c r="B54" s="496">
        <v>3</v>
      </c>
      <c r="C54" s="19" t="s">
        <v>751</v>
      </c>
      <c r="D54" s="496" t="s">
        <v>752</v>
      </c>
      <c r="E54" s="19" t="s">
        <v>748</v>
      </c>
      <c r="F54" s="497" t="s">
        <v>749</v>
      </c>
      <c r="G54" s="6" t="s">
        <v>753</v>
      </c>
    </row>
    <row r="55" spans="2:8" ht="27.75" customHeight="1" x14ac:dyDescent="0.3">
      <c r="B55" s="496">
        <v>4</v>
      </c>
      <c r="C55" s="19" t="s">
        <v>754</v>
      </c>
      <c r="D55" s="496" t="s">
        <v>755</v>
      </c>
      <c r="E55" s="19" t="s">
        <v>748</v>
      </c>
      <c r="F55" s="497" t="s">
        <v>749</v>
      </c>
      <c r="G55" s="6" t="s">
        <v>756</v>
      </c>
    </row>
    <row r="56" spans="2:8" ht="27.75" customHeight="1" x14ac:dyDescent="0.3">
      <c r="B56" s="496">
        <v>5</v>
      </c>
      <c r="C56" s="19" t="s">
        <v>757</v>
      </c>
      <c r="D56" s="496" t="s">
        <v>758</v>
      </c>
      <c r="E56" s="19" t="s">
        <v>759</v>
      </c>
      <c r="F56" s="497" t="s">
        <v>658</v>
      </c>
      <c r="G56" s="6" t="s">
        <v>760</v>
      </c>
    </row>
    <row r="57" spans="2:8" ht="27.75" customHeight="1" x14ac:dyDescent="0.3">
      <c r="B57" s="496">
        <v>6</v>
      </c>
      <c r="C57" s="19" t="s">
        <v>761</v>
      </c>
      <c r="D57" s="496" t="s">
        <v>762</v>
      </c>
      <c r="E57" s="19" t="s">
        <v>759</v>
      </c>
      <c r="F57" s="497" t="s">
        <v>658</v>
      </c>
      <c r="G57" s="6" t="s">
        <v>763</v>
      </c>
    </row>
    <row r="58" spans="2:8" ht="27.75" customHeight="1" x14ac:dyDescent="0.3">
      <c r="B58" s="496">
        <v>7</v>
      </c>
      <c r="C58" s="19" t="s">
        <v>764</v>
      </c>
      <c r="D58" s="496" t="s">
        <v>765</v>
      </c>
      <c r="E58" s="19" t="s">
        <v>766</v>
      </c>
      <c r="F58" s="497" t="s">
        <v>658</v>
      </c>
      <c r="G58" s="6" t="s">
        <v>767</v>
      </c>
    </row>
    <row r="59" spans="2:8" ht="27.75" customHeight="1" x14ac:dyDescent="0.3">
      <c r="B59" s="496">
        <v>8</v>
      </c>
      <c r="C59" s="19" t="s">
        <v>768</v>
      </c>
      <c r="D59" s="496" t="s">
        <v>769</v>
      </c>
      <c r="E59" s="19" t="s">
        <v>770</v>
      </c>
      <c r="F59" s="497" t="s">
        <v>749</v>
      </c>
      <c r="G59" s="6" t="s">
        <v>771</v>
      </c>
    </row>
    <row r="60" spans="2:8" ht="27.75" customHeight="1" x14ac:dyDescent="0.3">
      <c r="B60" s="496">
        <v>9</v>
      </c>
      <c r="C60" s="19" t="s">
        <v>713</v>
      </c>
      <c r="D60" s="496" t="s">
        <v>772</v>
      </c>
      <c r="E60" s="19" t="s">
        <v>773</v>
      </c>
      <c r="F60" s="497" t="s">
        <v>774</v>
      </c>
      <c r="G60" s="6" t="s">
        <v>775</v>
      </c>
    </row>
    <row r="61" spans="2:8" ht="27.75" customHeight="1" x14ac:dyDescent="0.3">
      <c r="B61" s="496">
        <v>10</v>
      </c>
      <c r="C61" s="19" t="s">
        <v>776</v>
      </c>
      <c r="D61" s="496" t="s">
        <v>777</v>
      </c>
      <c r="E61" s="19" t="s">
        <v>778</v>
      </c>
      <c r="F61" s="497" t="s">
        <v>774</v>
      </c>
      <c r="G61" s="6" t="s">
        <v>779</v>
      </c>
    </row>
    <row r="62" spans="2:8" ht="27.75" customHeight="1" x14ac:dyDescent="0.3">
      <c r="B62" s="496">
        <v>11</v>
      </c>
      <c r="C62" s="19" t="s">
        <v>780</v>
      </c>
      <c r="D62" s="496" t="s">
        <v>781</v>
      </c>
      <c r="E62" s="19" t="s">
        <v>782</v>
      </c>
      <c r="F62" s="497" t="s">
        <v>658</v>
      </c>
      <c r="G62" s="6" t="s">
        <v>783</v>
      </c>
    </row>
    <row r="63" spans="2:8" ht="27.75" customHeight="1" x14ac:dyDescent="0.3">
      <c r="B63" s="496">
        <v>12</v>
      </c>
      <c r="C63" s="19" t="s">
        <v>784</v>
      </c>
      <c r="D63" s="496" t="s">
        <v>785</v>
      </c>
      <c r="E63" s="19" t="s">
        <v>786</v>
      </c>
      <c r="F63" s="497" t="s">
        <v>787</v>
      </c>
      <c r="G63" s="6" t="s">
        <v>788</v>
      </c>
    </row>
    <row r="64" spans="2:8" ht="15.75" customHeight="1" x14ac:dyDescent="0.3"/>
    <row r="65" spans="2:8" ht="15.75" customHeight="1" x14ac:dyDescent="0.3"/>
    <row r="66" spans="2:8" ht="16.5" customHeight="1" x14ac:dyDescent="0.3">
      <c r="B66" s="498" t="s">
        <v>789</v>
      </c>
      <c r="C66" s="477"/>
      <c r="D66" s="477"/>
      <c r="E66" s="477"/>
      <c r="F66" s="477"/>
      <c r="G66" s="477"/>
      <c r="H66" s="477"/>
    </row>
    <row r="67" spans="2:8" ht="18" customHeight="1" x14ac:dyDescent="0.3">
      <c r="B67" s="5" t="s">
        <v>790</v>
      </c>
    </row>
    <row r="68" spans="2:8" ht="64.5" customHeight="1" x14ac:dyDescent="0.3">
      <c r="B68" s="6" t="s">
        <v>791</v>
      </c>
    </row>
    <row r="69" spans="2:8" ht="15.75" customHeight="1" x14ac:dyDescent="0.3"/>
    <row r="70" spans="2:8" ht="18" customHeight="1" x14ac:dyDescent="0.3">
      <c r="B70" s="5" t="s">
        <v>792</v>
      </c>
    </row>
    <row r="71" spans="2:8" ht="64.5" customHeight="1" x14ac:dyDescent="0.3">
      <c r="B71" s="6" t="s">
        <v>793</v>
      </c>
    </row>
    <row r="72" spans="2:8" ht="15.75" customHeight="1" x14ac:dyDescent="0.3"/>
    <row r="73" spans="2:8" ht="18" customHeight="1" x14ac:dyDescent="0.3">
      <c r="B73" s="5" t="s">
        <v>794</v>
      </c>
    </row>
    <row r="74" spans="2:8" ht="64.5" customHeight="1" x14ac:dyDescent="0.3">
      <c r="B74" s="6" t="s">
        <v>795</v>
      </c>
    </row>
    <row r="75" spans="2:8" ht="15.75" customHeight="1" x14ac:dyDescent="0.3"/>
    <row r="76" spans="2:8" ht="18" customHeight="1" x14ac:dyDescent="0.3">
      <c r="B76" s="5" t="s">
        <v>796</v>
      </c>
    </row>
    <row r="77" spans="2:8" ht="64.5" customHeight="1" x14ac:dyDescent="0.3">
      <c r="B77" s="6" t="s">
        <v>797</v>
      </c>
    </row>
    <row r="78" spans="2:8" ht="15.75" customHeight="1" x14ac:dyDescent="0.3"/>
    <row r="79" spans="2:8" ht="18" customHeight="1" x14ac:dyDescent="0.3">
      <c r="B79" s="5" t="s">
        <v>798</v>
      </c>
    </row>
    <row r="80" spans="2:8" ht="64.5" customHeight="1" x14ac:dyDescent="0.3">
      <c r="B80" s="6" t="s">
        <v>799</v>
      </c>
    </row>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N1000"/>
  <sheetViews>
    <sheetView showGridLines="0" topLeftCell="A59" zoomScaleNormal="100" workbookViewId="0">
      <selection activeCell="F22" sqref="F22"/>
    </sheetView>
  </sheetViews>
  <sheetFormatPr defaultColWidth="12.6640625" defaultRowHeight="14.4" x14ac:dyDescent="0.3"/>
  <cols>
    <col min="1" max="1" width="3" customWidth="1"/>
    <col min="2" max="2" width="77" style="680" customWidth="1"/>
    <col min="3" max="3" width="17.33203125" bestFit="1" customWidth="1"/>
    <col min="4" max="4" width="10.44140625" bestFit="1" customWidth="1"/>
    <col min="5" max="5" width="9.33203125" bestFit="1" customWidth="1"/>
    <col min="6" max="6" width="10.109375" bestFit="1" customWidth="1"/>
    <col min="7" max="8" width="9.33203125" bestFit="1" customWidth="1"/>
    <col min="9" max="9" width="11.6640625" bestFit="1" customWidth="1"/>
    <col min="10" max="10" width="3" customWidth="1"/>
    <col min="11" max="11" width="13" bestFit="1" customWidth="1"/>
    <col min="12" max="12" width="255.77734375" bestFit="1" customWidth="1"/>
    <col min="13" max="26" width="3" customWidth="1"/>
  </cols>
  <sheetData>
    <row r="1" spans="1:14" ht="21.75" customHeight="1" x14ac:dyDescent="0.3">
      <c r="B1" s="667" t="s">
        <v>800</v>
      </c>
      <c r="C1" s="2"/>
      <c r="D1" s="499"/>
      <c r="E1" s="499"/>
      <c r="F1" s="499"/>
      <c r="G1" s="499"/>
      <c r="H1" s="499"/>
      <c r="I1" s="500"/>
      <c r="J1" s="2"/>
      <c r="K1" s="500"/>
      <c r="L1" s="2"/>
    </row>
    <row r="2" spans="1:14" ht="16.5" customHeight="1" x14ac:dyDescent="0.3">
      <c r="B2" s="668" t="s">
        <v>305</v>
      </c>
      <c r="C2" s="494" t="s">
        <v>801</v>
      </c>
      <c r="D2" s="501" t="s">
        <v>802</v>
      </c>
      <c r="E2" s="501" t="s">
        <v>803</v>
      </c>
      <c r="F2" s="501" t="s">
        <v>804</v>
      </c>
      <c r="G2" s="501" t="s">
        <v>805</v>
      </c>
      <c r="H2" s="501" t="s">
        <v>806</v>
      </c>
      <c r="I2" s="494" t="s">
        <v>807</v>
      </c>
      <c r="J2" s="502"/>
      <c r="K2" s="494" t="s">
        <v>808</v>
      </c>
      <c r="L2" s="502"/>
    </row>
    <row r="3" spans="1:14" ht="16.5" customHeight="1" x14ac:dyDescent="0.3">
      <c r="B3" s="669" t="s">
        <v>100</v>
      </c>
      <c r="D3" s="175">
        <v>46112</v>
      </c>
      <c r="E3" s="175">
        <v>46477</v>
      </c>
      <c r="F3" s="175">
        <v>46843</v>
      </c>
      <c r="G3" s="175">
        <v>47208</v>
      </c>
      <c r="H3" s="175">
        <v>47573</v>
      </c>
      <c r="I3" s="496" t="s">
        <v>809</v>
      </c>
    </row>
    <row r="4" spans="1:14" ht="15.75" customHeight="1" x14ac:dyDescent="0.3">
      <c r="A4" s="475"/>
      <c r="B4" s="670"/>
      <c r="C4" s="475"/>
      <c r="D4" s="475"/>
      <c r="E4" s="475"/>
      <c r="F4" s="475"/>
      <c r="G4" s="475"/>
      <c r="H4" s="475"/>
      <c r="I4" s="475"/>
      <c r="J4" s="475"/>
      <c r="K4" s="475"/>
      <c r="L4" s="475"/>
    </row>
    <row r="5" spans="1:14" ht="16.5" customHeight="1" x14ac:dyDescent="0.3">
      <c r="B5" s="671" t="s">
        <v>810</v>
      </c>
      <c r="C5" s="477"/>
      <c r="D5" s="477"/>
      <c r="E5" s="477"/>
      <c r="F5" s="477"/>
      <c r="G5" s="477"/>
      <c r="H5" s="477"/>
      <c r="I5" s="477"/>
      <c r="J5" s="477"/>
      <c r="K5" s="477"/>
      <c r="L5" s="477"/>
      <c r="M5" s="477"/>
      <c r="N5" s="477"/>
    </row>
    <row r="6" spans="1:14" ht="15.75" customHeight="1" x14ac:dyDescent="0.3">
      <c r="B6" s="672" t="s">
        <v>730</v>
      </c>
      <c r="C6" s="485">
        <f>WACC!D45</f>
        <v>0.20451703282155351</v>
      </c>
      <c r="K6" s="488">
        <f>WACC!D45</f>
        <v>0.20451703282155351</v>
      </c>
    </row>
    <row r="7" spans="1:14" ht="15.75" customHeight="1" x14ac:dyDescent="0.3">
      <c r="B7" s="672" t="s">
        <v>732</v>
      </c>
      <c r="C7" s="485">
        <f>WACC!D46</f>
        <v>0.12841613264002447</v>
      </c>
      <c r="K7" s="488">
        <f>WACC!D46</f>
        <v>0.12841613264002447</v>
      </c>
    </row>
    <row r="8" spans="1:14" ht="15.75" customHeight="1" x14ac:dyDescent="0.3">
      <c r="B8" s="669" t="s">
        <v>811</v>
      </c>
      <c r="C8" s="504" t="s">
        <v>812</v>
      </c>
      <c r="K8" s="478">
        <v>5.5E-2</v>
      </c>
      <c r="L8" s="7" t="s">
        <v>813</v>
      </c>
    </row>
    <row r="9" spans="1:14" ht="15.75" customHeight="1" x14ac:dyDescent="0.3">
      <c r="A9" s="475"/>
      <c r="B9" s="670"/>
      <c r="C9" s="475"/>
      <c r="D9" s="475"/>
      <c r="E9" s="475"/>
      <c r="F9" s="475"/>
      <c r="G9" s="475"/>
      <c r="H9" s="475"/>
      <c r="I9" s="475"/>
      <c r="J9" s="475"/>
      <c r="K9" s="475"/>
      <c r="L9" s="475"/>
    </row>
    <row r="10" spans="1:14" ht="16.5" customHeight="1" x14ac:dyDescent="0.3">
      <c r="B10" s="671" t="s">
        <v>814</v>
      </c>
      <c r="C10" s="477"/>
      <c r="D10" s="477"/>
      <c r="E10" s="477"/>
      <c r="F10" s="477"/>
      <c r="G10" s="477"/>
      <c r="H10" s="477"/>
      <c r="I10" s="477"/>
      <c r="J10" s="477"/>
      <c r="K10" s="477"/>
      <c r="L10" s="477"/>
      <c r="M10" s="477"/>
      <c r="N10" s="477"/>
    </row>
    <row r="11" spans="1:14" ht="15.75" customHeight="1" x14ac:dyDescent="0.3">
      <c r="B11" s="669" t="s">
        <v>815</v>
      </c>
      <c r="C11" s="504" t="s">
        <v>816</v>
      </c>
      <c r="D11" s="491">
        <f>'FREE CASH FLOW'!H18</f>
        <v>-9450.8293437053526</v>
      </c>
      <c r="E11" s="491">
        <f>'FREE CASH FLOW'!I18</f>
        <v>7861.1475475675816</v>
      </c>
      <c r="F11" s="491">
        <f>'FREE CASH FLOW'!J18</f>
        <v>12352.262402271794</v>
      </c>
      <c r="G11" s="491">
        <f>'FREE CASH FLOW'!K18</f>
        <v>9693.8400085245121</v>
      </c>
      <c r="H11" s="491">
        <f>'FREE CASH FLOW'!L18</f>
        <v>7376.3918601278765</v>
      </c>
      <c r="K11" s="491">
        <f>SUM(D11:H11)</f>
        <v>27832.812474786413</v>
      </c>
    </row>
    <row r="12" spans="1:14" ht="15.75" customHeight="1" x14ac:dyDescent="0.3">
      <c r="A12" s="475"/>
      <c r="B12" s="670"/>
      <c r="C12" s="475"/>
      <c r="D12" s="475"/>
      <c r="E12" s="475"/>
      <c r="F12" s="475"/>
      <c r="G12" s="475"/>
      <c r="H12" s="475"/>
      <c r="I12" s="475"/>
      <c r="J12" s="475"/>
      <c r="K12" s="475"/>
      <c r="L12" s="475"/>
    </row>
    <row r="13" spans="1:14" ht="16.5" customHeight="1" x14ac:dyDescent="0.3">
      <c r="B13" s="671" t="s">
        <v>817</v>
      </c>
      <c r="C13" s="477"/>
      <c r="D13" s="477"/>
      <c r="E13" s="477"/>
      <c r="F13" s="477"/>
      <c r="G13" s="477"/>
      <c r="H13" s="477"/>
      <c r="I13" s="477"/>
      <c r="J13" s="477"/>
      <c r="K13" s="477"/>
      <c r="L13" s="477"/>
      <c r="M13" s="477"/>
      <c r="N13" s="477"/>
    </row>
    <row r="14" spans="1:14" ht="15.75" customHeight="1" x14ac:dyDescent="0.3">
      <c r="B14" s="672" t="s">
        <v>818</v>
      </c>
      <c r="C14" s="504" t="s">
        <v>819</v>
      </c>
      <c r="D14" s="505">
        <v>0.5</v>
      </c>
      <c r="E14" s="505">
        <v>1.5</v>
      </c>
      <c r="F14" s="505">
        <v>2.5</v>
      </c>
      <c r="G14" s="505">
        <v>3.5</v>
      </c>
      <c r="H14" s="505">
        <v>4.5</v>
      </c>
    </row>
    <row r="15" spans="1:14" ht="15.75" customHeight="1" x14ac:dyDescent="0.3">
      <c r="B15" s="673" t="s">
        <v>820</v>
      </c>
      <c r="C15" s="504" t="s">
        <v>821</v>
      </c>
      <c r="D15" s="484">
        <f>1/(1+$K$6)^0.5</f>
        <v>0.91115765284389783</v>
      </c>
      <c r="E15" s="484">
        <f>1/(1+$K$6)^1.5</f>
        <v>0.7564506171486276</v>
      </c>
      <c r="F15" s="484">
        <f>1/(1+$K$6)^2.5</f>
        <v>0.62801155694466126</v>
      </c>
      <c r="G15" s="484">
        <f>1/(1+$K$6)^3.5</f>
        <v>0.5213803871860232</v>
      </c>
      <c r="H15" s="484">
        <f>1/(1+$K$6)^4.5</f>
        <v>0.43285430839006189</v>
      </c>
    </row>
    <row r="16" spans="1:14" ht="15.75" customHeight="1" x14ac:dyDescent="0.3">
      <c r="B16" s="669" t="s">
        <v>822</v>
      </c>
      <c r="C16" s="504" t="s">
        <v>823</v>
      </c>
      <c r="D16" s="491">
        <f>D11*D15</f>
        <v>-8611.1954822388052</v>
      </c>
      <c r="E16" s="491">
        <f>E11*E15</f>
        <v>5946.5699138539176</v>
      </c>
      <c r="F16" s="491">
        <f>F11*F15</f>
        <v>7757.3635430397107</v>
      </c>
      <c r="G16" s="491">
        <f>G11*G15</f>
        <v>5054.1780569638722</v>
      </c>
      <c r="H16" s="491">
        <f>H11*H15</f>
        <v>3192.9029970297343</v>
      </c>
    </row>
    <row r="17" spans="1:14" ht="15.75" customHeight="1" x14ac:dyDescent="0.3">
      <c r="B17" s="674" t="s">
        <v>824</v>
      </c>
      <c r="C17" s="9" t="s">
        <v>825</v>
      </c>
      <c r="D17" s="507"/>
      <c r="E17" s="507"/>
      <c r="F17" s="507"/>
      <c r="G17" s="507"/>
      <c r="H17" s="507"/>
      <c r="I17" s="507"/>
      <c r="J17" s="507"/>
      <c r="K17" s="508">
        <f>SUM(D16:H16)</f>
        <v>13339.81902864843</v>
      </c>
      <c r="L17" s="507"/>
      <c r="M17" s="507"/>
      <c r="N17" s="507"/>
    </row>
    <row r="18" spans="1:14" ht="15.75" customHeight="1" x14ac:dyDescent="0.3">
      <c r="A18" s="475"/>
      <c r="B18" s="670"/>
      <c r="C18" s="475"/>
      <c r="D18" s="475"/>
      <c r="E18" s="475"/>
      <c r="F18" s="475"/>
      <c r="G18" s="475"/>
      <c r="H18" s="475"/>
      <c r="I18" s="475"/>
      <c r="J18" s="475"/>
      <c r="K18" s="475"/>
      <c r="L18" s="475"/>
    </row>
    <row r="19" spans="1:14" ht="16.5" customHeight="1" x14ac:dyDescent="0.3">
      <c r="B19" s="671" t="s">
        <v>826</v>
      </c>
      <c r="C19" s="477"/>
      <c r="D19" s="477"/>
      <c r="E19" s="477"/>
      <c r="F19" s="477"/>
      <c r="G19" s="477"/>
      <c r="H19" s="477"/>
      <c r="I19" s="477"/>
      <c r="J19" s="477"/>
      <c r="K19" s="477"/>
      <c r="L19" s="477"/>
      <c r="M19" s="477"/>
      <c r="N19" s="477"/>
    </row>
    <row r="20" spans="1:14" ht="15.75" customHeight="1" x14ac:dyDescent="0.3">
      <c r="B20" s="672" t="s">
        <v>827</v>
      </c>
      <c r="C20" s="504" t="s">
        <v>828</v>
      </c>
      <c r="I20" s="490">
        <f>H11*(1+$K$8)</f>
        <v>7782.0934124349096</v>
      </c>
    </row>
    <row r="21" spans="1:14" ht="15.75" customHeight="1" x14ac:dyDescent="0.3">
      <c r="B21" s="673" t="s">
        <v>829</v>
      </c>
      <c r="C21" s="504" t="s">
        <v>830</v>
      </c>
      <c r="I21" s="490">
        <f>I20/($K$6-$K$8)</f>
        <v>52048.206586086613</v>
      </c>
    </row>
    <row r="22" spans="1:14" ht="15.75" customHeight="1" x14ac:dyDescent="0.3">
      <c r="B22" s="672" t="s">
        <v>831</v>
      </c>
      <c r="C22" s="504" t="s">
        <v>832</v>
      </c>
      <c r="I22" s="484">
        <f>1/(1+$K$6)^5</f>
        <v>0.39439851565605755</v>
      </c>
    </row>
    <row r="23" spans="1:14" ht="15.75" customHeight="1" x14ac:dyDescent="0.3">
      <c r="B23" s="674" t="s">
        <v>833</v>
      </c>
      <c r="C23" s="9" t="s">
        <v>834</v>
      </c>
      <c r="D23" s="507"/>
      <c r="E23" s="507"/>
      <c r="F23" s="507"/>
      <c r="G23" s="507"/>
      <c r="H23" s="507"/>
      <c r="I23" s="507"/>
      <c r="J23" s="507"/>
      <c r="K23" s="508">
        <f>I21*I22</f>
        <v>20527.7354201124</v>
      </c>
      <c r="L23" s="507"/>
      <c r="M23" s="507"/>
      <c r="N23" s="507"/>
    </row>
    <row r="24" spans="1:14" ht="15.75" customHeight="1" x14ac:dyDescent="0.3">
      <c r="B24" s="673" t="s">
        <v>835</v>
      </c>
      <c r="K24" s="485">
        <f>K23/(K17+K23)</f>
        <v>0.60611803108397999</v>
      </c>
    </row>
    <row r="25" spans="1:14" ht="15.75" customHeight="1" x14ac:dyDescent="0.3">
      <c r="A25" s="475"/>
      <c r="B25" s="670"/>
      <c r="C25" s="475"/>
      <c r="D25" s="475"/>
      <c r="E25" s="475"/>
      <c r="F25" s="475"/>
      <c r="G25" s="475"/>
      <c r="H25" s="475"/>
      <c r="I25" s="475"/>
      <c r="J25" s="475"/>
      <c r="K25" s="475"/>
      <c r="L25" s="475"/>
    </row>
    <row r="26" spans="1:14" ht="16.5" customHeight="1" x14ac:dyDescent="0.3">
      <c r="B26" s="671" t="s">
        <v>836</v>
      </c>
      <c r="C26" s="477"/>
      <c r="D26" s="477"/>
      <c r="E26" s="477"/>
      <c r="F26" s="477"/>
      <c r="G26" s="477"/>
      <c r="H26" s="477"/>
      <c r="I26" s="477"/>
      <c r="J26" s="477"/>
      <c r="K26" s="477"/>
      <c r="L26" s="477"/>
      <c r="M26" s="477"/>
      <c r="N26" s="477"/>
    </row>
    <row r="27" spans="1:14" ht="15.75" customHeight="1" x14ac:dyDescent="0.3">
      <c r="B27" s="674" t="s">
        <v>837</v>
      </c>
      <c r="C27" s="9" t="s">
        <v>838</v>
      </c>
      <c r="D27" s="507"/>
      <c r="E27" s="507"/>
      <c r="F27" s="507"/>
      <c r="G27" s="507"/>
      <c r="H27" s="507"/>
      <c r="I27" s="507"/>
      <c r="J27" s="507"/>
      <c r="K27" s="508">
        <f>K17+K23</f>
        <v>33867.554448760828</v>
      </c>
      <c r="L27" s="507"/>
      <c r="M27" s="507"/>
      <c r="N27" s="507"/>
    </row>
    <row r="28" spans="1:14" ht="15.75" customHeight="1" x14ac:dyDescent="0.3">
      <c r="B28" s="675"/>
    </row>
    <row r="29" spans="1:14" ht="16.5" customHeight="1" x14ac:dyDescent="0.3">
      <c r="B29" s="671" t="s">
        <v>839</v>
      </c>
      <c r="C29" s="477"/>
      <c r="D29" s="477"/>
      <c r="E29" s="477"/>
      <c r="F29" s="477"/>
      <c r="G29" s="477"/>
      <c r="H29" s="477"/>
      <c r="I29" s="477"/>
      <c r="J29" s="477"/>
      <c r="K29" s="477"/>
      <c r="L29" s="477"/>
      <c r="M29" s="477"/>
      <c r="N29" s="477"/>
    </row>
    <row r="30" spans="1:14" ht="15.75" customHeight="1" x14ac:dyDescent="0.3">
      <c r="B30" s="672" t="s">
        <v>818</v>
      </c>
      <c r="C30" s="504" t="s">
        <v>819</v>
      </c>
      <c r="D30" s="505">
        <v>0.5</v>
      </c>
      <c r="E30" s="505">
        <v>1.5</v>
      </c>
      <c r="F30" s="505">
        <v>2.5</v>
      </c>
      <c r="G30" s="505">
        <v>3.5</v>
      </c>
      <c r="H30" s="505">
        <v>4.5</v>
      </c>
    </row>
    <row r="31" spans="1:14" ht="15.75" customHeight="1" x14ac:dyDescent="0.3">
      <c r="B31" s="673" t="s">
        <v>840</v>
      </c>
      <c r="C31" s="504" t="s">
        <v>821</v>
      </c>
      <c r="D31" s="484">
        <f>1/(1+$K$7)^0.5</f>
        <v>0.94138084415026446</v>
      </c>
      <c r="E31" s="484">
        <f>1/(1+$K$7)^1.5</f>
        <v>0.83424972128661867</v>
      </c>
      <c r="F31" s="484">
        <f>1/(1+$K$7)^2.5</f>
        <v>0.73931034585159761</v>
      </c>
      <c r="G31" s="484">
        <f>1/(1+$K$7)^3.5</f>
        <v>0.65517527130874931</v>
      </c>
      <c r="H31" s="484">
        <f>1/(1+$K$7)^4.5</f>
        <v>0.58061494545980274</v>
      </c>
    </row>
    <row r="32" spans="1:14" ht="15.75" customHeight="1" x14ac:dyDescent="0.3">
      <c r="A32" s="475"/>
      <c r="B32" s="676" t="s">
        <v>841</v>
      </c>
      <c r="C32" s="510" t="s">
        <v>823</v>
      </c>
      <c r="D32" s="511">
        <f>D11*D31</f>
        <v>-8896.8297054974355</v>
      </c>
      <c r="E32" s="511">
        <f>E11*E31</f>
        <v>6558.1601505512408</v>
      </c>
      <c r="F32" s="511">
        <f>F11*F31</f>
        <v>9132.1553886732454</v>
      </c>
      <c r="G32" s="511">
        <f>G11*G31</f>
        <v>6351.164257608656</v>
      </c>
      <c r="H32" s="511">
        <f>H11*H31</f>
        <v>4282.8433575582803</v>
      </c>
      <c r="I32" s="475"/>
      <c r="J32" s="475"/>
      <c r="K32" s="475"/>
      <c r="L32" s="475"/>
    </row>
    <row r="33" spans="1:14" ht="15.75" customHeight="1" x14ac:dyDescent="0.3">
      <c r="B33" s="674" t="s">
        <v>842</v>
      </c>
      <c r="C33" s="9" t="s">
        <v>825</v>
      </c>
      <c r="D33" s="507"/>
      <c r="E33" s="507"/>
      <c r="F33" s="507"/>
      <c r="G33" s="507"/>
      <c r="H33" s="507"/>
      <c r="I33" s="507"/>
      <c r="J33" s="507"/>
      <c r="K33" s="508">
        <f>SUM(D32:H32)</f>
        <v>17427.493448893987</v>
      </c>
      <c r="L33" s="507"/>
      <c r="M33" s="507"/>
      <c r="N33" s="507"/>
    </row>
    <row r="34" spans="1:14" ht="15.75" customHeight="1" x14ac:dyDescent="0.3">
      <c r="B34" s="677"/>
    </row>
    <row r="35" spans="1:14" ht="16.5" customHeight="1" x14ac:dyDescent="0.3">
      <c r="B35" s="671" t="s">
        <v>843</v>
      </c>
      <c r="C35" s="477"/>
      <c r="D35" s="477"/>
      <c r="E35" s="477"/>
      <c r="F35" s="477"/>
      <c r="G35" s="477"/>
      <c r="H35" s="477"/>
      <c r="I35" s="477"/>
      <c r="J35" s="477"/>
      <c r="K35" s="477"/>
      <c r="L35" s="477"/>
      <c r="M35" s="477"/>
      <c r="N35" s="477"/>
    </row>
    <row r="36" spans="1:14" ht="15.75" customHeight="1" x14ac:dyDescent="0.3">
      <c r="B36" s="672" t="s">
        <v>827</v>
      </c>
      <c r="C36" s="504" t="s">
        <v>828</v>
      </c>
      <c r="I36" s="490">
        <f>H11*(1+$K$8)</f>
        <v>7782.0934124349096</v>
      </c>
    </row>
    <row r="37" spans="1:14" ht="15.75" customHeight="1" x14ac:dyDescent="0.3">
      <c r="B37" s="673" t="s">
        <v>844</v>
      </c>
      <c r="C37" s="504" t="s">
        <v>845</v>
      </c>
      <c r="I37" s="490">
        <f>I36/($K$7-$K$8)</f>
        <v>105999.77324591904</v>
      </c>
    </row>
    <row r="38" spans="1:14" ht="15.75" customHeight="1" x14ac:dyDescent="0.3">
      <c r="B38" s="672" t="s">
        <v>846</v>
      </c>
      <c r="C38" s="504" t="s">
        <v>832</v>
      </c>
      <c r="I38" s="484">
        <f>1/(1+$K$7)^5</f>
        <v>0.5465797874832089</v>
      </c>
    </row>
    <row r="39" spans="1:14" ht="15.75" customHeight="1" x14ac:dyDescent="0.3">
      <c r="B39" s="674" t="s">
        <v>847</v>
      </c>
      <c r="C39" s="9" t="s">
        <v>834</v>
      </c>
      <c r="D39" s="507"/>
      <c r="E39" s="507"/>
      <c r="F39" s="507"/>
      <c r="G39" s="507"/>
      <c r="H39" s="507"/>
      <c r="I39" s="507"/>
      <c r="J39" s="507"/>
      <c r="K39" s="508">
        <f>I37*I38</f>
        <v>57937.333534022764</v>
      </c>
      <c r="L39" s="507"/>
      <c r="M39" s="507"/>
      <c r="N39" s="507"/>
    </row>
    <row r="40" spans="1:14" ht="15.75" customHeight="1" x14ac:dyDescent="0.3">
      <c r="B40" s="673" t="s">
        <v>848</v>
      </c>
      <c r="K40" s="485">
        <f>K39/(K33+K39)</f>
        <v>0.76875826368122158</v>
      </c>
    </row>
    <row r="41" spans="1:14" ht="15.75" customHeight="1" x14ac:dyDescent="0.3">
      <c r="B41" s="678"/>
    </row>
    <row r="42" spans="1:14" ht="16.5" customHeight="1" x14ac:dyDescent="0.3">
      <c r="B42" s="671" t="s">
        <v>849</v>
      </c>
      <c r="C42" s="477"/>
      <c r="D42" s="477"/>
      <c r="E42" s="477"/>
      <c r="F42" s="477"/>
      <c r="G42" s="477"/>
      <c r="H42" s="477"/>
      <c r="I42" s="477"/>
      <c r="J42" s="477"/>
      <c r="K42" s="477"/>
      <c r="L42" s="477"/>
      <c r="M42" s="477"/>
      <c r="N42" s="477"/>
    </row>
    <row r="43" spans="1:14" ht="15.75" customHeight="1" x14ac:dyDescent="0.3">
      <c r="A43" s="475"/>
      <c r="B43" s="679" t="s">
        <v>850</v>
      </c>
      <c r="C43" s="513" t="s">
        <v>838</v>
      </c>
      <c r="D43" s="514"/>
      <c r="E43" s="514"/>
      <c r="F43" s="514"/>
      <c r="G43" s="514"/>
      <c r="H43" s="514"/>
      <c r="I43" s="514"/>
      <c r="J43" s="514"/>
      <c r="K43" s="515">
        <f>K33+K39</f>
        <v>75364.826982916755</v>
      </c>
      <c r="L43" s="514"/>
      <c r="M43" s="507"/>
      <c r="N43" s="507"/>
    </row>
    <row r="44" spans="1:14" ht="15.75" customHeight="1" x14ac:dyDescent="0.3">
      <c r="B44" s="677"/>
    </row>
    <row r="45" spans="1:14" ht="16.5" customHeight="1" x14ac:dyDescent="0.3">
      <c r="B45" s="671" t="s">
        <v>851</v>
      </c>
      <c r="C45" s="477"/>
      <c r="D45" s="477"/>
      <c r="E45" s="477"/>
      <c r="F45" s="477"/>
      <c r="G45" s="477"/>
      <c r="H45" s="477"/>
      <c r="I45" s="477"/>
      <c r="J45" s="477"/>
      <c r="K45" s="477"/>
      <c r="L45" s="477"/>
      <c r="M45" s="477"/>
      <c r="N45" s="477"/>
    </row>
    <row r="46" spans="1:14" ht="15.75" customHeight="1" x14ac:dyDescent="0.3">
      <c r="B46" s="672" t="s">
        <v>852</v>
      </c>
      <c r="C46" s="504" t="s">
        <v>853</v>
      </c>
      <c r="K46" s="490">
        <f>'BALANCE SHEET'!H29</f>
        <v>1275.6737781665131</v>
      </c>
    </row>
    <row r="47" spans="1:14" ht="15.75" customHeight="1" x14ac:dyDescent="0.3">
      <c r="B47" s="672" t="s">
        <v>854</v>
      </c>
      <c r="C47" s="504" t="s">
        <v>855</v>
      </c>
      <c r="K47" s="490">
        <f>'BALANCE SHEET'!H30</f>
        <v>5430.9629676709001</v>
      </c>
    </row>
    <row r="48" spans="1:14" ht="15.75" customHeight="1" x14ac:dyDescent="0.3">
      <c r="B48" s="672" t="s">
        <v>856</v>
      </c>
      <c r="C48" s="504" t="s">
        <v>857</v>
      </c>
      <c r="K48" s="490">
        <f>'FORECAST SCHEDULES'!I170</f>
        <v>5430.9629676709001</v>
      </c>
    </row>
    <row r="49" spans="1:14" ht="15.75" customHeight="1" x14ac:dyDescent="0.3">
      <c r="B49" s="672" t="s">
        <v>858</v>
      </c>
      <c r="C49" s="504" t="s">
        <v>859</v>
      </c>
      <c r="K49" s="490">
        <f>-('BALANCE SHEET'!H48+'BALANCE SHEET'!H61)</f>
        <v>-26.330000000000002</v>
      </c>
    </row>
    <row r="50" spans="1:14" ht="15.75" customHeight="1" x14ac:dyDescent="0.3">
      <c r="B50" s="672" t="s">
        <v>860</v>
      </c>
      <c r="C50" s="504" t="s">
        <v>861</v>
      </c>
      <c r="K50" s="490">
        <f>IF(ISNUMBER('BALANCE SHEET'!H73),-'BALANCE SHEET'!H73,0)</f>
        <v>0</v>
      </c>
    </row>
    <row r="51" spans="1:14" ht="15.75" customHeight="1" x14ac:dyDescent="0.3">
      <c r="B51" s="674" t="s">
        <v>862</v>
      </c>
      <c r="C51" s="507"/>
      <c r="D51" s="507"/>
      <c r="E51" s="507"/>
      <c r="F51" s="507"/>
      <c r="G51" s="507"/>
      <c r="H51" s="507"/>
      <c r="I51" s="507"/>
      <c r="J51" s="507"/>
      <c r="K51" s="508">
        <f>SUM(K46:K50)</f>
        <v>12111.269713508313</v>
      </c>
      <c r="L51" s="507"/>
      <c r="M51" s="507"/>
      <c r="N51" s="507"/>
    </row>
    <row r="52" spans="1:14" ht="15.75" customHeight="1" x14ac:dyDescent="0.3">
      <c r="B52" s="677"/>
    </row>
    <row r="53" spans="1:14" ht="15.75" customHeight="1" x14ac:dyDescent="0.3">
      <c r="B53" s="669" t="s">
        <v>863</v>
      </c>
      <c r="C53" s="504" t="s">
        <v>864</v>
      </c>
      <c r="K53" s="491">
        <f>K27+K51</f>
        <v>45978.824162269142</v>
      </c>
    </row>
    <row r="54" spans="1:14" ht="15.75" customHeight="1" x14ac:dyDescent="0.3">
      <c r="B54" s="669" t="s">
        <v>865</v>
      </c>
      <c r="C54" s="504" t="s">
        <v>866</v>
      </c>
      <c r="K54" s="491">
        <f>K43+K51</f>
        <v>87476.096696425069</v>
      </c>
    </row>
    <row r="55" spans="1:14" ht="15.75" customHeight="1" x14ac:dyDescent="0.3">
      <c r="B55" s="677"/>
    </row>
    <row r="56" spans="1:14" ht="16.5" customHeight="1" x14ac:dyDescent="0.3">
      <c r="B56" s="671" t="s">
        <v>867</v>
      </c>
      <c r="C56" s="477"/>
      <c r="D56" s="477"/>
      <c r="E56" s="477"/>
      <c r="F56" s="477"/>
      <c r="G56" s="477"/>
      <c r="H56" s="477"/>
      <c r="I56" s="477"/>
      <c r="J56" s="477"/>
      <c r="K56" s="477"/>
      <c r="L56" s="477"/>
      <c r="M56" s="477"/>
      <c r="N56" s="477"/>
    </row>
    <row r="57" spans="1:14" ht="15.75" customHeight="1" x14ac:dyDescent="0.3">
      <c r="B57" s="672" t="s">
        <v>868</v>
      </c>
      <c r="C57" s="504" t="s">
        <v>869</v>
      </c>
      <c r="K57" s="516">
        <f>'INCOME STATEMENT'!H67</f>
        <v>40.338000000000001</v>
      </c>
    </row>
    <row r="58" spans="1:14" ht="15.75" customHeight="1" x14ac:dyDescent="0.3">
      <c r="A58" s="475"/>
      <c r="B58" s="670"/>
      <c r="C58" s="475"/>
      <c r="D58" s="475"/>
      <c r="E58" s="475"/>
      <c r="F58" s="475"/>
      <c r="G58" s="475"/>
      <c r="H58" s="475"/>
      <c r="I58" s="475"/>
      <c r="J58" s="475"/>
      <c r="K58" s="475"/>
      <c r="L58" s="475"/>
    </row>
    <row r="59" spans="1:14" ht="15.75" customHeight="1" x14ac:dyDescent="0.3">
      <c r="B59" s="674" t="s">
        <v>870</v>
      </c>
      <c r="C59" s="9" t="s">
        <v>871</v>
      </c>
      <c r="D59" s="507"/>
      <c r="E59" s="507"/>
      <c r="F59" s="507"/>
      <c r="G59" s="507"/>
      <c r="H59" s="507"/>
      <c r="I59" s="507"/>
      <c r="J59" s="507"/>
      <c r="K59" s="508">
        <f>K53/K57</f>
        <v>1139.8389648041336</v>
      </c>
      <c r="L59" s="507"/>
      <c r="M59" s="507"/>
      <c r="N59" s="507"/>
    </row>
    <row r="60" spans="1:14" ht="15.75" customHeight="1" x14ac:dyDescent="0.3">
      <c r="B60" s="674" t="s">
        <v>872</v>
      </c>
      <c r="C60" s="9" t="s">
        <v>873</v>
      </c>
      <c r="D60" s="507"/>
      <c r="E60" s="507"/>
      <c r="F60" s="507"/>
      <c r="G60" s="507"/>
      <c r="H60" s="507"/>
      <c r="I60" s="507"/>
      <c r="J60" s="507"/>
      <c r="K60" s="508">
        <f>K54/K57</f>
        <v>2168.5779338694301</v>
      </c>
      <c r="L60" s="507"/>
      <c r="M60" s="507"/>
      <c r="N60" s="507"/>
    </row>
    <row r="61" spans="1:14" ht="15.75" customHeight="1" x14ac:dyDescent="0.3">
      <c r="B61" s="678"/>
    </row>
    <row r="62" spans="1:14" ht="15.75" customHeight="1" x14ac:dyDescent="0.3">
      <c r="B62" s="672" t="s">
        <v>874</v>
      </c>
      <c r="K62" s="517">
        <v>2571.5500000000002</v>
      </c>
    </row>
    <row r="63" spans="1:14" ht="15.75" customHeight="1" x14ac:dyDescent="0.3"/>
    <row r="64" spans="1:14" ht="15.75" customHeight="1" x14ac:dyDescent="0.3">
      <c r="B64" s="674" t="s">
        <v>875</v>
      </c>
      <c r="C64" s="507"/>
      <c r="D64" s="507"/>
      <c r="E64" s="507"/>
      <c r="F64" s="507"/>
      <c r="G64" s="507"/>
      <c r="H64" s="507"/>
      <c r="I64" s="507"/>
      <c r="J64" s="507"/>
      <c r="K64" s="518">
        <f>K59/K62-1</f>
        <v>-0.55675022270454255</v>
      </c>
      <c r="L64" s="507"/>
      <c r="M64" s="507"/>
      <c r="N64" s="507"/>
    </row>
    <row r="65" spans="2:14" ht="15.75" customHeight="1" x14ac:dyDescent="0.3">
      <c r="B65" s="674" t="s">
        <v>876</v>
      </c>
      <c r="C65" s="507"/>
      <c r="D65" s="507"/>
      <c r="E65" s="507"/>
      <c r="F65" s="507"/>
      <c r="G65" s="507"/>
      <c r="H65" s="507"/>
      <c r="I65" s="507"/>
      <c r="J65" s="507"/>
      <c r="K65" s="518">
        <f>K60/K62-1</f>
        <v>-0.15670395914159552</v>
      </c>
      <c r="L65" s="507"/>
      <c r="M65" s="507"/>
      <c r="N65" s="507"/>
    </row>
    <row r="66" spans="2:14" ht="15.75" customHeight="1" x14ac:dyDescent="0.3">
      <c r="B66" s="678"/>
    </row>
    <row r="67" spans="2:14" ht="15.75" customHeight="1" x14ac:dyDescent="0.3">
      <c r="B67" s="678"/>
    </row>
    <row r="68" spans="2:14" ht="16.5" customHeight="1" x14ac:dyDescent="0.3">
      <c r="B68" s="671" t="s">
        <v>877</v>
      </c>
      <c r="C68" s="477"/>
      <c r="D68" s="477"/>
      <c r="E68" s="477"/>
      <c r="F68" s="477"/>
      <c r="G68" s="477"/>
      <c r="H68" s="477"/>
      <c r="I68" s="477"/>
      <c r="J68" s="477"/>
      <c r="K68" s="477"/>
      <c r="L68" s="477"/>
      <c r="M68" s="477"/>
      <c r="N68" s="477"/>
    </row>
    <row r="69" spans="2:14" ht="18" customHeight="1" x14ac:dyDescent="0.3">
      <c r="B69" s="681" t="s">
        <v>878</v>
      </c>
    </row>
    <row r="70" spans="2:14" ht="69.75" customHeight="1" x14ac:dyDescent="0.3">
      <c r="B70" s="519" t="s">
        <v>879</v>
      </c>
    </row>
    <row r="71" spans="2:14" ht="15.75" customHeight="1" x14ac:dyDescent="0.3"/>
    <row r="72" spans="2:14" ht="18" customHeight="1" x14ac:dyDescent="0.3">
      <c r="B72" s="681" t="s">
        <v>880</v>
      </c>
    </row>
    <row r="73" spans="2:14" ht="69.75" customHeight="1" x14ac:dyDescent="0.3">
      <c r="B73" s="519" t="s">
        <v>881</v>
      </c>
    </row>
    <row r="74" spans="2:14" ht="15.75" customHeight="1" x14ac:dyDescent="0.3"/>
    <row r="75" spans="2:14" ht="18" customHeight="1" x14ac:dyDescent="0.3">
      <c r="B75" s="681" t="s">
        <v>882</v>
      </c>
    </row>
    <row r="76" spans="2:14" ht="69.75" customHeight="1" x14ac:dyDescent="0.3">
      <c r="B76" s="519" t="s">
        <v>883</v>
      </c>
    </row>
    <row r="77" spans="2:14" ht="15.75" customHeight="1" x14ac:dyDescent="0.3"/>
    <row r="78" spans="2:14" ht="18" customHeight="1" x14ac:dyDescent="0.3">
      <c r="B78" s="681" t="s">
        <v>884</v>
      </c>
    </row>
    <row r="79" spans="2:14" ht="69.75" customHeight="1" x14ac:dyDescent="0.3">
      <c r="B79" s="519" t="s">
        <v>885</v>
      </c>
    </row>
    <row r="80" spans="2:14"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B1:J84"/>
  <sheetViews>
    <sheetView showGridLines="0" zoomScaleNormal="100" workbookViewId="0">
      <selection activeCell="L21" sqref="L21"/>
    </sheetView>
  </sheetViews>
  <sheetFormatPr defaultColWidth="8.5546875" defaultRowHeight="14.4" x14ac:dyDescent="0.3"/>
  <cols>
    <col min="2" max="2" width="74" style="680" customWidth="1"/>
    <col min="3" max="3" width="3" customWidth="1"/>
    <col min="4" max="4" width="15.44140625" bestFit="1" customWidth="1"/>
    <col min="5" max="5" width="17.6640625" bestFit="1" customWidth="1"/>
    <col min="6" max="6" width="3" customWidth="1"/>
    <col min="7" max="7" width="85.6640625" bestFit="1" customWidth="1"/>
    <col min="8" max="8" width="73.33203125" style="680" bestFit="1" customWidth="1"/>
    <col min="9" max="9" width="3" style="689" customWidth="1"/>
    <col min="10" max="10" width="8.5546875" style="689"/>
  </cols>
  <sheetData>
    <row r="1" spans="2:10" ht="21.75" customHeight="1" x14ac:dyDescent="0.3">
      <c r="B1" s="667" t="s">
        <v>886</v>
      </c>
      <c r="C1" s="2"/>
      <c r="D1" s="2"/>
      <c r="E1" s="2"/>
      <c r="F1" s="2"/>
      <c r="G1" s="2"/>
      <c r="H1" s="684"/>
    </row>
    <row r="2" spans="2:10" ht="16.5" customHeight="1" x14ac:dyDescent="0.3">
      <c r="B2" s="668" t="s">
        <v>648</v>
      </c>
      <c r="C2" s="4"/>
      <c r="D2" s="494" t="s">
        <v>649</v>
      </c>
      <c r="E2" s="494" t="s">
        <v>650</v>
      </c>
      <c r="F2" s="4"/>
      <c r="G2" s="494" t="s">
        <v>651</v>
      </c>
      <c r="H2" s="581" t="s">
        <v>887</v>
      </c>
    </row>
    <row r="3" spans="2:10" ht="15.75" customHeight="1" x14ac:dyDescent="0.3"/>
    <row r="4" spans="2:10" ht="16.5" customHeight="1" x14ac:dyDescent="0.3">
      <c r="B4" s="671" t="s">
        <v>888</v>
      </c>
      <c r="C4" s="477"/>
      <c r="D4" s="477"/>
      <c r="E4" s="477"/>
      <c r="F4" s="477"/>
      <c r="G4" s="477"/>
      <c r="H4" s="685"/>
      <c r="I4" s="690"/>
      <c r="J4" s="690"/>
    </row>
    <row r="5" spans="2:10" ht="15.75" customHeight="1" x14ac:dyDescent="0.3">
      <c r="B5" s="672" t="s">
        <v>889</v>
      </c>
      <c r="D5" s="520">
        <f>('FORECAST SCHEDULES'!I201+'FORECAST SCHEDULES'!I203)/'INCOME STATEMENT'!H67</f>
        <v>14.99385372381755</v>
      </c>
      <c r="E5" s="520">
        <f>D5</f>
        <v>14.99385372381755</v>
      </c>
      <c r="G5" s="6" t="s">
        <v>890</v>
      </c>
      <c r="H5" s="672" t="s">
        <v>891</v>
      </c>
    </row>
    <row r="6" spans="2:10" ht="15.75" customHeight="1" x14ac:dyDescent="0.3">
      <c r="B6" s="672" t="s">
        <v>892</v>
      </c>
      <c r="D6" s="521">
        <f>D5*(1+DCF!$K$8)</f>
        <v>15.818515678627513</v>
      </c>
      <c r="E6" s="521">
        <f>D5*(1+DCF!$K$8)</f>
        <v>15.818515678627513</v>
      </c>
      <c r="G6" s="6" t="s">
        <v>893</v>
      </c>
      <c r="H6" s="672" t="s">
        <v>894</v>
      </c>
    </row>
    <row r="7" spans="2:10" ht="15.75" customHeight="1" x14ac:dyDescent="0.3">
      <c r="B7" s="672" t="s">
        <v>895</v>
      </c>
      <c r="D7" s="485">
        <f>WACC!D29</f>
        <v>0.20455467999999999</v>
      </c>
      <c r="E7" s="485">
        <f>WACC!D30</f>
        <v>0.12843446318964458</v>
      </c>
      <c r="G7" s="6" t="s">
        <v>896</v>
      </c>
      <c r="H7" s="672" t="s">
        <v>897</v>
      </c>
    </row>
    <row r="8" spans="2:10" ht="15.75" customHeight="1" x14ac:dyDescent="0.3">
      <c r="B8" s="672" t="s">
        <v>811</v>
      </c>
      <c r="D8" s="485">
        <f>DCF!$K$8</f>
        <v>5.5E-2</v>
      </c>
      <c r="E8" s="485">
        <f>DCF!$K$8</f>
        <v>5.5E-2</v>
      </c>
      <c r="G8" s="6" t="s">
        <v>898</v>
      </c>
      <c r="H8" s="672" t="s">
        <v>899</v>
      </c>
    </row>
    <row r="9" spans="2:10" ht="15.75" customHeight="1" x14ac:dyDescent="0.3">
      <c r="B9" s="672" t="s">
        <v>900</v>
      </c>
      <c r="D9" s="485">
        <f>D7-D8</f>
        <v>0.14955468</v>
      </c>
      <c r="E9" s="485">
        <f>E7-E8</f>
        <v>7.3434463189644583E-2</v>
      </c>
      <c r="G9" s="6" t="s">
        <v>901</v>
      </c>
      <c r="H9" s="672" t="s">
        <v>902</v>
      </c>
    </row>
    <row r="10" spans="2:10" ht="15.75" customHeight="1" x14ac:dyDescent="0.3">
      <c r="B10" s="672" t="s">
        <v>903</v>
      </c>
      <c r="D10" s="485">
        <f>IF('INCOME STATEMENT'!H71=0,0.3,'INCOME STATEMENT'!H75/'INCOME STATEMENT'!H71)</f>
        <v>7.2598856330520114</v>
      </c>
      <c r="E10" s="485">
        <f>D10</f>
        <v>7.2598856330520114</v>
      </c>
      <c r="G10" s="6" t="s">
        <v>904</v>
      </c>
      <c r="H10" s="672" t="s">
        <v>905</v>
      </c>
    </row>
    <row r="11" spans="2:10" ht="15.75" customHeight="1" x14ac:dyDescent="0.3"/>
    <row r="12" spans="2:10" ht="16.5" customHeight="1" x14ac:dyDescent="0.3">
      <c r="B12" s="671" t="s">
        <v>906</v>
      </c>
      <c r="C12" s="477"/>
      <c r="D12" s="477"/>
      <c r="E12" s="477"/>
      <c r="F12" s="477"/>
      <c r="G12" s="477"/>
      <c r="H12" s="685"/>
      <c r="I12" s="690"/>
      <c r="J12" s="690"/>
    </row>
    <row r="13" spans="2:10" ht="15.75" customHeight="1" x14ac:dyDescent="0.3">
      <c r="B13" s="673" t="s">
        <v>907</v>
      </c>
      <c r="D13" s="521">
        <f>D6</f>
        <v>15.818515678627513</v>
      </c>
      <c r="E13" s="521">
        <f>E6</f>
        <v>15.818515678627513</v>
      </c>
      <c r="G13" s="6" t="s">
        <v>908</v>
      </c>
    </row>
    <row r="14" spans="2:10" ht="15.75" customHeight="1" x14ac:dyDescent="0.3">
      <c r="B14" s="674" t="s">
        <v>909</v>
      </c>
      <c r="C14" s="507"/>
      <c r="D14" s="522">
        <f>D13/D9</f>
        <v>105.77078349288377</v>
      </c>
      <c r="E14" s="522">
        <f>E13/E9</f>
        <v>215.4099722602476</v>
      </c>
      <c r="F14" s="507"/>
      <c r="G14" s="523" t="s">
        <v>910</v>
      </c>
      <c r="H14" s="686" t="s">
        <v>911</v>
      </c>
      <c r="I14" s="690"/>
      <c r="J14" s="690"/>
    </row>
    <row r="15" spans="2:10" ht="15.75" customHeight="1" x14ac:dyDescent="0.3">
      <c r="B15" s="672" t="s">
        <v>912</v>
      </c>
      <c r="D15" s="521">
        <f>DCF!K62</f>
        <v>2571.5500000000002</v>
      </c>
      <c r="E15" s="521">
        <f>DCF!K62</f>
        <v>2571.5500000000002</v>
      </c>
      <c r="H15" s="672" t="s">
        <v>913</v>
      </c>
    </row>
    <row r="16" spans="2:10" ht="15.75" customHeight="1" x14ac:dyDescent="0.3">
      <c r="B16" s="674" t="s">
        <v>914</v>
      </c>
      <c r="C16" s="507"/>
      <c r="D16" s="518">
        <f>D14/D15-1</f>
        <v>-0.95886885983438641</v>
      </c>
      <c r="E16" s="518">
        <f>E14/E15-1</f>
        <v>-0.91623341087661236</v>
      </c>
      <c r="F16" s="507"/>
      <c r="G16" s="524" t="s">
        <v>915</v>
      </c>
      <c r="H16" s="687"/>
      <c r="I16" s="690"/>
      <c r="J16" s="690"/>
    </row>
    <row r="17" spans="2:10" ht="15.75" customHeight="1" x14ac:dyDescent="0.3"/>
    <row r="18" spans="2:10" ht="16.5" customHeight="1" x14ac:dyDescent="0.3">
      <c r="B18" s="671" t="s">
        <v>916</v>
      </c>
      <c r="C18" s="477"/>
      <c r="D18" s="477"/>
      <c r="E18" s="477"/>
      <c r="F18" s="477"/>
      <c r="G18" s="477"/>
      <c r="H18" s="685"/>
      <c r="I18" s="690"/>
      <c r="J18" s="690"/>
    </row>
    <row r="19" spans="2:10" ht="18" customHeight="1" x14ac:dyDescent="0.3">
      <c r="B19" s="682" t="s">
        <v>917</v>
      </c>
    </row>
    <row r="20" spans="2:10" ht="15.75" customHeight="1" x14ac:dyDescent="0.3">
      <c r="B20" s="672" t="s">
        <v>918</v>
      </c>
      <c r="D20" s="485">
        <f>(('FORECAST SCHEDULES'!M201+'FORECAST SCHEDULES'!M203)/'INCOME STATEMENT'!L67/D5)^(1/4)-1</f>
        <v>0.245604709558223</v>
      </c>
      <c r="E20" s="485">
        <f>D20</f>
        <v>0.245604709558223</v>
      </c>
      <c r="G20" s="6" t="s">
        <v>919</v>
      </c>
      <c r="H20" s="672" t="s">
        <v>920</v>
      </c>
    </row>
    <row r="21" spans="2:10" ht="15.75" customHeight="1" x14ac:dyDescent="0.3">
      <c r="B21" s="672" t="s">
        <v>921</v>
      </c>
      <c r="D21" s="485">
        <f>DCF!$K$8</f>
        <v>5.5E-2</v>
      </c>
      <c r="E21" s="485">
        <f>DCF!$K$8</f>
        <v>5.5E-2</v>
      </c>
      <c r="G21" s="6" t="s">
        <v>922</v>
      </c>
    </row>
    <row r="22" spans="2:10" ht="15.75" customHeight="1" x14ac:dyDescent="0.3">
      <c r="B22" s="672" t="s">
        <v>923</v>
      </c>
      <c r="D22" s="525">
        <v>2.5</v>
      </c>
      <c r="E22" s="525">
        <v>2.5</v>
      </c>
      <c r="G22" s="6" t="s">
        <v>924</v>
      </c>
      <c r="H22" s="672" t="s">
        <v>925</v>
      </c>
    </row>
    <row r="23" spans="2:10" ht="15.75" customHeight="1" x14ac:dyDescent="0.3">
      <c r="B23" s="674" t="s">
        <v>926</v>
      </c>
      <c r="C23" s="507"/>
      <c r="D23" s="522">
        <f>D5*(1+D21)/(D7-D21)+D5*D22*(D20-D21)/(D7-D21)</f>
        <v>153.54426564313684</v>
      </c>
      <c r="E23" s="522">
        <f>E5*(1+E21)/(E7-E21)+E5*E22*(E20-E21)/(E7-E21)</f>
        <v>312.70417889202338</v>
      </c>
      <c r="F23" s="507"/>
      <c r="G23" s="523" t="s">
        <v>927</v>
      </c>
      <c r="H23" s="686" t="s">
        <v>928</v>
      </c>
      <c r="I23" s="690"/>
      <c r="J23" s="690"/>
    </row>
    <row r="24" spans="2:10" ht="15.75" customHeight="1" x14ac:dyDescent="0.3">
      <c r="B24" s="674" t="s">
        <v>929</v>
      </c>
      <c r="C24" s="507"/>
      <c r="D24" s="518">
        <f>D23/D15-1</f>
        <v>-0.94029116072285712</v>
      </c>
      <c r="E24" s="518">
        <f>E23/E15-1</f>
        <v>-0.87839856160991492</v>
      </c>
      <c r="F24" s="507"/>
      <c r="G24" s="507"/>
      <c r="H24" s="687"/>
      <c r="I24" s="690"/>
      <c r="J24" s="690"/>
    </row>
    <row r="25" spans="2:10" ht="15.75" customHeight="1" x14ac:dyDescent="0.3"/>
    <row r="26" spans="2:10" ht="16.5" customHeight="1" x14ac:dyDescent="0.3">
      <c r="B26" s="671" t="s">
        <v>930</v>
      </c>
      <c r="C26" s="477"/>
      <c r="D26" s="477"/>
      <c r="E26" s="477"/>
      <c r="F26" s="477"/>
      <c r="G26" s="477"/>
      <c r="H26" s="685"/>
      <c r="I26" s="690"/>
      <c r="J26" s="690"/>
    </row>
    <row r="27" spans="2:10" ht="16.5" customHeight="1" x14ac:dyDescent="0.3">
      <c r="B27" s="581" t="s">
        <v>931</v>
      </c>
      <c r="D27" s="494" t="s">
        <v>932</v>
      </c>
      <c r="E27" s="494" t="s">
        <v>933</v>
      </c>
      <c r="G27" s="494" t="s">
        <v>741</v>
      </c>
    </row>
    <row r="28" spans="2:10" ht="15.75" customHeight="1" x14ac:dyDescent="0.3">
      <c r="B28" s="672" t="s">
        <v>934</v>
      </c>
      <c r="D28" s="521">
        <f>D14</f>
        <v>105.77078349288377</v>
      </c>
      <c r="E28" s="521">
        <f>E14</f>
        <v>215.4099722602476</v>
      </c>
      <c r="G28" s="6" t="s">
        <v>935</v>
      </c>
    </row>
    <row r="29" spans="2:10" ht="15.75" customHeight="1" x14ac:dyDescent="0.3">
      <c r="B29" s="672" t="s">
        <v>936</v>
      </c>
      <c r="D29" s="521">
        <f>D23</f>
        <v>153.54426564313684</v>
      </c>
      <c r="E29" s="521">
        <f>E23</f>
        <v>312.70417889202338</v>
      </c>
      <c r="G29" s="6" t="s">
        <v>937</v>
      </c>
    </row>
    <row r="30" spans="2:10" ht="15.75" customHeight="1" x14ac:dyDescent="0.3">
      <c r="B30" s="674" t="s">
        <v>938</v>
      </c>
      <c r="C30" s="526"/>
      <c r="D30" s="522">
        <f>AVERAGE(D28,D29)</f>
        <v>129.6575245680103</v>
      </c>
      <c r="E30" s="522">
        <f>AVERAGE(E28,E29)</f>
        <v>264.0570755761355</v>
      </c>
      <c r="F30" s="526"/>
      <c r="G30" s="524" t="s">
        <v>939</v>
      </c>
      <c r="H30" s="688"/>
    </row>
    <row r="31" spans="2:10" ht="15.75" customHeight="1" x14ac:dyDescent="0.3">
      <c r="B31" s="672" t="s">
        <v>940</v>
      </c>
      <c r="D31" s="521">
        <f>D15</f>
        <v>2571.5500000000002</v>
      </c>
      <c r="E31" s="521">
        <f>D15</f>
        <v>2571.5500000000002</v>
      </c>
    </row>
    <row r="32" spans="2:10" ht="15.75" customHeight="1" x14ac:dyDescent="0.3"/>
    <row r="33" spans="2:10" ht="15.75" customHeight="1" x14ac:dyDescent="0.3">
      <c r="B33" s="674" t="s">
        <v>941</v>
      </c>
      <c r="C33" s="507"/>
      <c r="D33" s="522">
        <f>AVERAGE(D28,D29)</f>
        <v>129.6575245680103</v>
      </c>
      <c r="E33" s="522">
        <f>AVERAGE(E28,E29)</f>
        <v>264.0570755761355</v>
      </c>
      <c r="F33" s="507"/>
      <c r="G33" s="524" t="s">
        <v>942</v>
      </c>
      <c r="H33" s="687"/>
      <c r="I33" s="690"/>
      <c r="J33" s="690"/>
    </row>
    <row r="34" spans="2:10" ht="21.75" customHeight="1" x14ac:dyDescent="0.3">
      <c r="B34" s="683" t="s">
        <v>943</v>
      </c>
    </row>
    <row r="35" spans="2:10" ht="54.75" customHeight="1" x14ac:dyDescent="0.3">
      <c r="B35" s="527" t="s">
        <v>944</v>
      </c>
    </row>
    <row r="36" spans="2:10" ht="16.5" customHeight="1" x14ac:dyDescent="0.3">
      <c r="B36" s="671" t="s">
        <v>945</v>
      </c>
      <c r="C36" s="477"/>
      <c r="D36" s="477"/>
      <c r="E36" s="477"/>
      <c r="F36" s="477"/>
      <c r="G36" s="477"/>
      <c r="H36" s="685"/>
      <c r="I36" s="690"/>
      <c r="J36" s="690"/>
    </row>
    <row r="37" spans="2:10" ht="18" customHeight="1" x14ac:dyDescent="0.3">
      <c r="B37" s="681" t="s">
        <v>946</v>
      </c>
    </row>
    <row r="38" spans="2:10" ht="69.75" customHeight="1" x14ac:dyDescent="0.3">
      <c r="B38" s="528" t="s">
        <v>947</v>
      </c>
    </row>
    <row r="39" spans="2:10" ht="15.75" customHeight="1" x14ac:dyDescent="0.3"/>
    <row r="40" spans="2:10" ht="18" customHeight="1" x14ac:dyDescent="0.3">
      <c r="B40" s="681" t="s">
        <v>948</v>
      </c>
    </row>
    <row r="41" spans="2:10" ht="69.75" customHeight="1" x14ac:dyDescent="0.3">
      <c r="B41" s="528" t="s">
        <v>949</v>
      </c>
    </row>
    <row r="42" spans="2:10" ht="15.75" customHeight="1" x14ac:dyDescent="0.3"/>
    <row r="43" spans="2:10" ht="18" customHeight="1" x14ac:dyDescent="0.3">
      <c r="B43" s="681" t="s">
        <v>950</v>
      </c>
    </row>
    <row r="44" spans="2:10" ht="69.75" customHeight="1" x14ac:dyDescent="0.3">
      <c r="B44" s="528" t="s">
        <v>951</v>
      </c>
    </row>
    <row r="45" spans="2:10" ht="15.75" customHeight="1" x14ac:dyDescent="0.3"/>
    <row r="46" spans="2:10" ht="15.75" customHeight="1" x14ac:dyDescent="0.3"/>
    <row r="47" spans="2:10" ht="15.75" customHeight="1" x14ac:dyDescent="0.3"/>
    <row r="48" spans="2:10"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R1000"/>
  <sheetViews>
    <sheetView showGridLines="0" zoomScaleNormal="100" workbookViewId="0"/>
  </sheetViews>
  <sheetFormatPr defaultColWidth="12.6640625" defaultRowHeight="14.4" x14ac:dyDescent="0.3"/>
  <cols>
    <col min="1" max="26" width="3" customWidth="1"/>
  </cols>
  <sheetData>
    <row r="1" spans="1:18" ht="21.75" customHeight="1" x14ac:dyDescent="0.3">
      <c r="B1" s="1" t="s">
        <v>952</v>
      </c>
      <c r="C1" s="2"/>
      <c r="D1" s="2"/>
      <c r="E1" s="2"/>
      <c r="F1" s="2"/>
      <c r="G1" s="2"/>
      <c r="H1" s="2"/>
      <c r="I1" s="2"/>
      <c r="J1" s="2"/>
      <c r="K1" s="2"/>
      <c r="L1" s="2"/>
      <c r="M1" s="2"/>
      <c r="N1" s="2"/>
      <c r="O1" s="2"/>
      <c r="P1" s="2"/>
      <c r="Q1" s="2"/>
    </row>
    <row r="2" spans="1:18" ht="18" customHeight="1" x14ac:dyDescent="0.3">
      <c r="B2" s="494" t="s">
        <v>953</v>
      </c>
      <c r="C2" s="494" t="s">
        <v>954</v>
      </c>
      <c r="D2" s="494" t="s">
        <v>955</v>
      </c>
      <c r="E2" s="494" t="s">
        <v>956</v>
      </c>
      <c r="F2" s="494" t="s">
        <v>957</v>
      </c>
      <c r="G2" s="494" t="s">
        <v>958</v>
      </c>
      <c r="H2" s="494" t="s">
        <v>959</v>
      </c>
      <c r="I2" s="494" t="s">
        <v>960</v>
      </c>
      <c r="J2" s="494" t="s">
        <v>961</v>
      </c>
      <c r="K2" s="494" t="s">
        <v>962</v>
      </c>
      <c r="L2" s="494" t="s">
        <v>963</v>
      </c>
      <c r="M2" s="494" t="s">
        <v>964</v>
      </c>
      <c r="N2" s="494" t="s">
        <v>965</v>
      </c>
      <c r="O2" s="494" t="s">
        <v>966</v>
      </c>
      <c r="P2" s="494" t="s">
        <v>967</v>
      </c>
      <c r="Q2" s="494" t="s">
        <v>968</v>
      </c>
    </row>
    <row r="3" spans="1:18" ht="15.75" customHeight="1" x14ac:dyDescent="0.3">
      <c r="B3" s="529"/>
      <c r="C3" s="530"/>
      <c r="D3" s="529"/>
      <c r="E3" s="529"/>
      <c r="F3" s="529"/>
      <c r="G3" s="529"/>
      <c r="H3" s="529"/>
      <c r="I3" s="529"/>
      <c r="J3" s="529"/>
      <c r="K3" s="530"/>
      <c r="L3" s="530"/>
      <c r="M3" s="530"/>
    </row>
    <row r="4" spans="1:18" ht="16.5" customHeight="1" x14ac:dyDescent="0.3">
      <c r="B4" s="503" t="s">
        <v>969</v>
      </c>
      <c r="C4" s="477"/>
      <c r="D4" s="477"/>
      <c r="E4" s="477"/>
      <c r="F4" s="477"/>
      <c r="G4" s="477"/>
      <c r="H4" s="477"/>
      <c r="I4" s="477"/>
      <c r="J4" s="477"/>
      <c r="K4" s="477"/>
      <c r="L4" s="477"/>
      <c r="M4" s="477"/>
      <c r="N4" s="477"/>
      <c r="O4" s="477"/>
      <c r="P4" s="477"/>
      <c r="Q4" s="477"/>
      <c r="R4" s="477"/>
    </row>
    <row r="5" spans="1:18" ht="18" customHeight="1" x14ac:dyDescent="0.3">
      <c r="A5" s="475"/>
      <c r="B5" s="531" t="s">
        <v>970</v>
      </c>
      <c r="C5" s="532" t="s">
        <v>971</v>
      </c>
      <c r="D5" s="533">
        <v>2571.5500000000002</v>
      </c>
      <c r="E5" s="534">
        <f>'INCOME STATEMENT'!H67</f>
        <v>40.338000000000001</v>
      </c>
      <c r="F5" s="535">
        <f>D5*E5</f>
        <v>103731.1839</v>
      </c>
      <c r="G5" s="535">
        <f>'BALANCE SHEET'!G29+'BALANCE SHEET'!G30+'FORECAST SCHEDULES'!H170-'BALANCE SHEET'!G48-'BALANCE SHEET'!G61</f>
        <v>26993.500000000004</v>
      </c>
      <c r="H5" s="535">
        <f>F5-G5</f>
        <v>76737.683900000004</v>
      </c>
      <c r="I5" s="535">
        <f>'INCOME STATEMENT'!G9</f>
        <v>11431.880000000001</v>
      </c>
      <c r="J5" s="535">
        <f>'INCOME STATEMENT'!G29</f>
        <v>2060.0200000000004</v>
      </c>
      <c r="K5" s="535">
        <f>'INCOME STATEMENT'!G63</f>
        <v>2413.5100000000002</v>
      </c>
      <c r="L5" s="536">
        <f>'INCOME STATEMENT'!G71</f>
        <v>59.832168178888395</v>
      </c>
      <c r="M5" s="535">
        <f>'BALANCE SHEET'!G45</f>
        <v>7180.8399999999992</v>
      </c>
      <c r="N5" s="537">
        <f>H5/I5</f>
        <v>6.7126040423797306</v>
      </c>
      <c r="O5" s="538">
        <f>H5/J5</f>
        <v>37.250941204454321</v>
      </c>
      <c r="P5" s="538">
        <f>F5/K5</f>
        <v>42.979388483992189</v>
      </c>
      <c r="Q5" s="538">
        <f>F5/M5</f>
        <v>14.445550088847547</v>
      </c>
    </row>
    <row r="6" spans="1:18" ht="18" customHeight="1" x14ac:dyDescent="0.3">
      <c r="B6" s="6"/>
      <c r="C6" s="504"/>
      <c r="D6" s="539"/>
      <c r="E6" s="540"/>
      <c r="F6" s="489"/>
      <c r="G6" s="489"/>
      <c r="H6" s="489"/>
      <c r="I6" s="489"/>
      <c r="J6" s="489"/>
      <c r="K6" s="489"/>
      <c r="L6" s="539"/>
      <c r="M6" s="489"/>
      <c r="N6" s="541"/>
      <c r="O6" s="541"/>
      <c r="P6" s="541"/>
      <c r="Q6" s="541"/>
    </row>
    <row r="7" spans="1:18" ht="16.5" customHeight="1" x14ac:dyDescent="0.3">
      <c r="B7" s="498" t="s">
        <v>972</v>
      </c>
      <c r="C7" s="542"/>
      <c r="D7" s="543"/>
      <c r="E7" s="544"/>
      <c r="F7" s="545"/>
      <c r="G7" s="545"/>
      <c r="H7" s="545"/>
      <c r="I7" s="545"/>
      <c r="J7" s="545"/>
      <c r="K7" s="545"/>
      <c r="L7" s="543"/>
      <c r="M7" s="545"/>
      <c r="N7" s="546"/>
      <c r="O7" s="546"/>
      <c r="P7" s="546"/>
      <c r="Q7" s="546"/>
      <c r="R7" s="477"/>
    </row>
    <row r="8" spans="1:18" ht="18" customHeight="1" x14ac:dyDescent="0.3">
      <c r="B8" s="6" t="s">
        <v>973</v>
      </c>
      <c r="C8" s="504" t="s">
        <v>974</v>
      </c>
      <c r="D8" s="539">
        <v>1659.9</v>
      </c>
      <c r="E8" s="540">
        <v>26.31</v>
      </c>
      <c r="F8" s="489">
        <v>43671.97</v>
      </c>
      <c r="G8" s="489">
        <v>2629.47</v>
      </c>
      <c r="H8" s="489">
        <v>41042.5</v>
      </c>
      <c r="I8" s="489">
        <v>5209.03</v>
      </c>
      <c r="J8" s="489">
        <v>1283.56</v>
      </c>
      <c r="K8" s="489">
        <v>827.34</v>
      </c>
      <c r="L8" s="539">
        <v>31.45</v>
      </c>
      <c r="M8" s="489">
        <v>5579.26</v>
      </c>
      <c r="N8" s="547">
        <f>H8/I8</f>
        <v>7.8791060907692989</v>
      </c>
      <c r="O8" s="547">
        <f>H8/J8</f>
        <v>31.975521206644022</v>
      </c>
      <c r="P8" s="547">
        <f>F8/K8</f>
        <v>52.786000918606618</v>
      </c>
      <c r="Q8" s="547">
        <f>F8/M8</f>
        <v>7.8275559841269269</v>
      </c>
    </row>
    <row r="9" spans="1:18" ht="18" customHeight="1" x14ac:dyDescent="0.3">
      <c r="B9" s="6" t="s">
        <v>975</v>
      </c>
      <c r="C9" s="504" t="s">
        <v>976</v>
      </c>
      <c r="D9" s="539">
        <v>2764.2</v>
      </c>
      <c r="E9" s="540">
        <v>11.46</v>
      </c>
      <c r="F9" s="489">
        <v>31677.73</v>
      </c>
      <c r="G9" s="489">
        <v>3724.23</v>
      </c>
      <c r="H9" s="489">
        <v>27953.5</v>
      </c>
      <c r="I9" s="489">
        <v>5410.53</v>
      </c>
      <c r="J9" s="489">
        <v>756.64</v>
      </c>
      <c r="K9" s="489">
        <v>527.41999999999996</v>
      </c>
      <c r="L9" s="539">
        <v>46.04</v>
      </c>
      <c r="M9" s="489">
        <v>2079.2600000000002</v>
      </c>
      <c r="N9" s="547">
        <f>H9/I9</f>
        <v>5.1664994002435991</v>
      </c>
      <c r="O9" s="547">
        <f>H9/J9</f>
        <v>36.944253541975051</v>
      </c>
      <c r="P9" s="547">
        <f>F9/K9</f>
        <v>60.061677600394376</v>
      </c>
      <c r="Q9" s="547">
        <f>F9/M9</f>
        <v>15.235098063734211</v>
      </c>
    </row>
    <row r="10" spans="1:18" ht="18" customHeight="1" x14ac:dyDescent="0.3">
      <c r="B10" s="506" t="s">
        <v>977</v>
      </c>
      <c r="C10" s="9"/>
      <c r="D10" s="548"/>
      <c r="E10" s="549"/>
      <c r="F10" s="550"/>
      <c r="G10" s="550"/>
      <c r="H10" s="550"/>
      <c r="I10" s="550"/>
      <c r="J10" s="550"/>
      <c r="K10" s="550"/>
      <c r="L10" s="548"/>
      <c r="M10" s="550"/>
      <c r="N10" s="551">
        <f>AVERAGE(N8:N9)</f>
        <v>6.522802745506449</v>
      </c>
      <c r="O10" s="551">
        <f>AVERAGE(O8:O9)</f>
        <v>34.459887374309538</v>
      </c>
      <c r="P10" s="551">
        <f>AVERAGE(P8:P9)</f>
        <v>56.423839259500497</v>
      </c>
      <c r="Q10" s="551">
        <f>AVERAGE(Q8:Q9)</f>
        <v>11.531327023930569</v>
      </c>
    </row>
    <row r="11" spans="1:18" ht="15.75" customHeight="1" x14ac:dyDescent="0.3">
      <c r="B11" s="506" t="s">
        <v>978</v>
      </c>
      <c r="C11" s="526"/>
      <c r="D11" s="526"/>
      <c r="E11" s="526"/>
      <c r="F11" s="526"/>
      <c r="G11" s="526"/>
      <c r="H11" s="526"/>
      <c r="I11" s="526"/>
      <c r="J11" s="526"/>
      <c r="K11" s="526"/>
      <c r="L11" s="526"/>
      <c r="M11" s="526"/>
      <c r="N11" s="551">
        <f>MEDIAN(N8:N9)</f>
        <v>6.522802745506449</v>
      </c>
      <c r="O11" s="551">
        <f>MEDIAN(O8:O9)</f>
        <v>34.459887374309538</v>
      </c>
      <c r="P11" s="551">
        <f>MEDIAN(P8:P9)</f>
        <v>56.423839259500497</v>
      </c>
      <c r="Q11" s="551">
        <f>MEDIAN(Q8:Q9)</f>
        <v>11.531327023930569</v>
      </c>
    </row>
    <row r="12" spans="1:18" ht="16.5" customHeight="1" x14ac:dyDescent="0.3">
      <c r="B12" s="477"/>
      <c r="C12" s="477"/>
      <c r="D12" s="477"/>
      <c r="E12" s="477"/>
      <c r="F12" s="477"/>
      <c r="G12" s="477"/>
      <c r="H12" s="477"/>
      <c r="I12" s="477"/>
      <c r="J12" s="477"/>
      <c r="K12" s="477"/>
      <c r="L12" s="477"/>
      <c r="M12" s="477"/>
      <c r="N12" s="477"/>
      <c r="O12" s="477"/>
    </row>
    <row r="13" spans="1:18" ht="16.5" customHeight="1" x14ac:dyDescent="0.3">
      <c r="B13" s="498" t="s">
        <v>979</v>
      </c>
      <c r="C13" s="477"/>
      <c r="D13" s="477"/>
      <c r="E13" s="477"/>
      <c r="F13" s="477"/>
      <c r="G13" s="477"/>
      <c r="H13" s="477"/>
      <c r="I13" s="477"/>
      <c r="J13" s="477"/>
      <c r="K13" s="477"/>
      <c r="L13" s="477"/>
      <c r="M13" s="477"/>
      <c r="N13" s="546"/>
      <c r="O13" s="546"/>
      <c r="P13" s="546"/>
      <c r="Q13" s="546"/>
      <c r="R13" s="477"/>
    </row>
    <row r="14" spans="1:18" ht="18" customHeight="1" x14ac:dyDescent="0.3">
      <c r="A14" s="475"/>
      <c r="B14" s="474" t="s">
        <v>980</v>
      </c>
      <c r="C14" s="510" t="s">
        <v>981</v>
      </c>
      <c r="D14" s="552">
        <v>449</v>
      </c>
      <c r="E14" s="553">
        <v>730.98</v>
      </c>
      <c r="F14" s="554">
        <v>328210.02</v>
      </c>
      <c r="G14" s="554">
        <v>9486.41</v>
      </c>
      <c r="H14" s="554">
        <v>318723.61</v>
      </c>
      <c r="I14" s="554">
        <v>24511.11</v>
      </c>
      <c r="J14" s="554">
        <v>7578.91</v>
      </c>
      <c r="K14" s="554">
        <v>5321.44</v>
      </c>
      <c r="L14" s="552">
        <v>7.28</v>
      </c>
      <c r="M14" s="554">
        <v>19992.830000000002</v>
      </c>
      <c r="N14" s="555">
        <f>H14/I14</f>
        <v>13.003230371859944</v>
      </c>
      <c r="O14" s="547">
        <f>H14/J14</f>
        <v>42.054017002444944</v>
      </c>
      <c r="P14" s="547">
        <f>F14/K14</f>
        <v>61.676918277759412</v>
      </c>
      <c r="Q14" s="547">
        <f>F14/M14</f>
        <v>16.4163862744794</v>
      </c>
    </row>
    <row r="15" spans="1:18" ht="18" customHeight="1" x14ac:dyDescent="0.3">
      <c r="B15" s="6" t="s">
        <v>982</v>
      </c>
      <c r="C15" s="504" t="s">
        <v>983</v>
      </c>
      <c r="D15" s="539">
        <v>4619.3999999999996</v>
      </c>
      <c r="E15" s="540">
        <v>66.88</v>
      </c>
      <c r="F15" s="489">
        <v>308945.46999999997</v>
      </c>
      <c r="G15" s="489">
        <v>38181.11</v>
      </c>
      <c r="H15" s="489">
        <v>270764.36</v>
      </c>
      <c r="I15" s="489">
        <v>33589.18</v>
      </c>
      <c r="J15" s="489">
        <v>12229.25</v>
      </c>
      <c r="K15" s="489">
        <v>8364.1299999999992</v>
      </c>
      <c r="L15" s="539">
        <v>125.07</v>
      </c>
      <c r="M15" s="489">
        <v>34985.17</v>
      </c>
      <c r="N15" s="547">
        <f>H15/I15</f>
        <v>8.0610589481493733</v>
      </c>
      <c r="O15" s="547">
        <f>H15/J15</f>
        <v>22.140716724247191</v>
      </c>
      <c r="P15" s="547">
        <f>F15/K15</f>
        <v>36.936952199451703</v>
      </c>
      <c r="Q15" s="547">
        <f>F15/M15</f>
        <v>8.830755145680298</v>
      </c>
    </row>
    <row r="16" spans="1:18" ht="18" customHeight="1" x14ac:dyDescent="0.3">
      <c r="B16" s="6" t="s">
        <v>984</v>
      </c>
      <c r="C16" s="504" t="s">
        <v>985</v>
      </c>
      <c r="D16" s="539">
        <v>1538.2</v>
      </c>
      <c r="E16" s="540">
        <v>36.659999999999997</v>
      </c>
      <c r="F16" s="489">
        <v>56390.41</v>
      </c>
      <c r="G16" s="489">
        <v>4190.05</v>
      </c>
      <c r="H16" s="489">
        <v>52200.36</v>
      </c>
      <c r="I16" s="489">
        <v>3695.45</v>
      </c>
      <c r="J16" s="489">
        <v>823.61</v>
      </c>
      <c r="K16" s="489">
        <v>549.63</v>
      </c>
      <c r="L16" s="539">
        <v>14.99</v>
      </c>
      <c r="M16" s="489">
        <v>4008.95</v>
      </c>
      <c r="N16" s="547">
        <f>H16/I16</f>
        <v>14.125576046219001</v>
      </c>
      <c r="O16" s="547">
        <f>H16/J16</f>
        <v>63.379949247823603</v>
      </c>
      <c r="P16" s="547">
        <f>F16/K16</f>
        <v>102.5970380073868</v>
      </c>
      <c r="Q16" s="547">
        <f>F16/M16</f>
        <v>14.06612953516507</v>
      </c>
    </row>
    <row r="17" spans="1:18" ht="15.75" customHeight="1" x14ac:dyDescent="0.3">
      <c r="B17" s="506" t="s">
        <v>986</v>
      </c>
      <c r="C17" s="526"/>
      <c r="D17" s="526"/>
      <c r="E17" s="526"/>
      <c r="F17" s="526"/>
      <c r="G17" s="526"/>
      <c r="H17" s="526"/>
      <c r="I17" s="526"/>
      <c r="J17" s="526"/>
      <c r="K17" s="526"/>
      <c r="L17" s="526"/>
      <c r="M17" s="526"/>
      <c r="N17" s="551">
        <f>AVERAGE(N14:N16)</f>
        <v>11.729955122076106</v>
      </c>
      <c r="O17" s="551">
        <f>AVERAGE(O14:O16)</f>
        <v>42.524894324838577</v>
      </c>
      <c r="P17" s="551">
        <f>AVERAGE(P14:P15)</f>
        <v>49.306935238605561</v>
      </c>
      <c r="Q17" s="551">
        <f>AVERAGE(Q14:Q16)</f>
        <v>13.104423651774923</v>
      </c>
    </row>
    <row r="18" spans="1:18" ht="16.5" customHeight="1" x14ac:dyDescent="0.3">
      <c r="B18" s="512" t="s">
        <v>987</v>
      </c>
      <c r="C18" s="514"/>
      <c r="D18" s="514"/>
      <c r="E18" s="514"/>
      <c r="F18" s="514"/>
      <c r="G18" s="514"/>
      <c r="H18" s="514"/>
      <c r="I18" s="514"/>
      <c r="J18" s="514"/>
      <c r="K18" s="514"/>
      <c r="L18" s="514"/>
      <c r="M18" s="514"/>
      <c r="N18" s="556">
        <f>MEDIAN(N14:N16)</f>
        <v>13.003230371859944</v>
      </c>
      <c r="O18" s="556">
        <f>MEDIAN(O14:O16)</f>
        <v>42.054017002444944</v>
      </c>
      <c r="P18" s="551">
        <f>MEDIAN(P14:P15)</f>
        <v>49.306935238605561</v>
      </c>
      <c r="Q18" s="551">
        <f>MEDIAN(Q14:Q16)</f>
        <v>14.06612953516507</v>
      </c>
    </row>
    <row r="19" spans="1:18" ht="27.75" customHeight="1" x14ac:dyDescent="0.3">
      <c r="B19" s="494"/>
      <c r="C19" s="494"/>
      <c r="D19" s="494"/>
      <c r="E19" s="494"/>
      <c r="F19" s="494"/>
      <c r="G19" s="494"/>
    </row>
    <row r="20" spans="1:18" ht="16.5" customHeight="1" x14ac:dyDescent="0.3">
      <c r="A20" s="475"/>
      <c r="B20" s="498" t="s">
        <v>988</v>
      </c>
      <c r="C20" s="546"/>
      <c r="D20" s="545"/>
      <c r="E20" s="545"/>
      <c r="F20" s="543"/>
      <c r="G20" s="557"/>
      <c r="H20" s="477"/>
      <c r="I20" s="477"/>
      <c r="J20" s="477"/>
      <c r="K20" s="477"/>
      <c r="L20" s="477"/>
      <c r="M20" s="477"/>
      <c r="N20" s="477"/>
      <c r="O20" s="477"/>
      <c r="P20" s="477"/>
      <c r="Q20" s="477"/>
      <c r="R20" s="477"/>
    </row>
    <row r="21" spans="1:18" ht="18" customHeight="1" x14ac:dyDescent="0.3">
      <c r="B21" s="506" t="s">
        <v>989</v>
      </c>
      <c r="C21" s="558"/>
      <c r="D21" s="550"/>
      <c r="E21" s="550"/>
      <c r="F21" s="559"/>
      <c r="G21" s="560"/>
      <c r="H21" s="526"/>
      <c r="I21" s="526"/>
      <c r="J21" s="526"/>
      <c r="K21" s="526"/>
      <c r="L21" s="526"/>
      <c r="M21" s="526"/>
      <c r="N21" s="551">
        <f t="shared" ref="N21:Q22" si="0">0.5*N10+0.5*N17</f>
        <v>9.126378933791278</v>
      </c>
      <c r="O21" s="551">
        <f t="shared" si="0"/>
        <v>38.492390849574058</v>
      </c>
      <c r="P21" s="551">
        <f t="shared" si="0"/>
        <v>52.865387249053029</v>
      </c>
      <c r="Q21" s="551">
        <f t="shared" si="0"/>
        <v>12.317875337852746</v>
      </c>
    </row>
    <row r="22" spans="1:18" ht="18" customHeight="1" x14ac:dyDescent="0.3">
      <c r="B22" s="506" t="s">
        <v>990</v>
      </c>
      <c r="C22" s="558"/>
      <c r="D22" s="9"/>
      <c r="E22" s="9"/>
      <c r="F22" s="559"/>
      <c r="G22" s="560"/>
      <c r="H22" s="526"/>
      <c r="I22" s="526"/>
      <c r="J22" s="526"/>
      <c r="K22" s="526"/>
      <c r="L22" s="526"/>
      <c r="M22" s="526"/>
      <c r="N22" s="551">
        <f t="shared" si="0"/>
        <v>9.7630165586831961</v>
      </c>
      <c r="O22" s="551">
        <f t="shared" si="0"/>
        <v>38.256952188377241</v>
      </c>
      <c r="P22" s="551">
        <f t="shared" si="0"/>
        <v>52.865387249053029</v>
      </c>
      <c r="Q22" s="551">
        <f t="shared" si="0"/>
        <v>12.79872827954782</v>
      </c>
    </row>
    <row r="23" spans="1:18" ht="18" customHeight="1" x14ac:dyDescent="0.3">
      <c r="B23" s="5"/>
      <c r="C23" s="541"/>
      <c r="D23" s="504"/>
      <c r="E23" s="504"/>
      <c r="F23" s="561"/>
      <c r="G23" s="562"/>
    </row>
    <row r="24" spans="1:18" ht="16.5" customHeight="1" x14ac:dyDescent="0.3">
      <c r="B24" s="498" t="s">
        <v>991</v>
      </c>
      <c r="C24" s="546"/>
      <c r="D24" s="545"/>
      <c r="E24" s="545"/>
      <c r="F24" s="543"/>
      <c r="G24" s="557"/>
      <c r="H24" s="477"/>
      <c r="I24" s="477"/>
      <c r="J24" s="477"/>
      <c r="K24" s="477"/>
      <c r="L24" s="477"/>
      <c r="M24" s="477"/>
      <c r="N24" s="477"/>
      <c r="O24" s="477"/>
      <c r="P24" s="477"/>
      <c r="Q24" s="477"/>
      <c r="R24" s="477"/>
    </row>
    <row r="25" spans="1:18" ht="18" customHeight="1" x14ac:dyDescent="0.3">
      <c r="B25" s="494" t="s">
        <v>931</v>
      </c>
      <c r="C25" s="563" t="s">
        <v>992</v>
      </c>
      <c r="D25" s="564" t="s">
        <v>993</v>
      </c>
      <c r="E25" s="564" t="s">
        <v>994</v>
      </c>
      <c r="F25" s="565" t="s">
        <v>995</v>
      </c>
      <c r="G25" s="566" t="s">
        <v>996</v>
      </c>
    </row>
    <row r="26" spans="1:18" ht="16.5" customHeight="1" x14ac:dyDescent="0.3">
      <c r="A26" s="475"/>
      <c r="B26" s="509" t="s">
        <v>997</v>
      </c>
      <c r="C26" s="555">
        <f>O21</f>
        <v>38.492390849574058</v>
      </c>
      <c r="D26" s="567">
        <f>O21*'INCOME STATEMENT'!G29</f>
        <v>79295.094997939566</v>
      </c>
      <c r="E26" s="567">
        <f>D26+('BALANCE SHEET'!G29+'BALANCE SHEET'!G30+'FORECAST SCHEDULES'!H170-'BALANCE SHEET'!G48-'BALANCE SHEET'!G61)</f>
        <v>106288.59499793957</v>
      </c>
      <c r="F26" s="568">
        <f>E26/('INCOME STATEMENT'!H67)</f>
        <v>2634.9495512405069</v>
      </c>
      <c r="G26" s="569">
        <f t="shared" ref="G26:G33" si="1">F26/2571.55-1</f>
        <v>2.465421681106994E-2</v>
      </c>
      <c r="H26" s="475"/>
      <c r="I26" s="475"/>
      <c r="J26" s="475"/>
      <c r="K26" s="475"/>
      <c r="L26" s="475"/>
      <c r="M26" s="475"/>
      <c r="N26" s="475"/>
    </row>
    <row r="27" spans="1:18" ht="16.5" customHeight="1" x14ac:dyDescent="0.3">
      <c r="B27" s="5" t="s">
        <v>998</v>
      </c>
      <c r="C27" s="547">
        <f>O22</f>
        <v>38.256952188377241</v>
      </c>
      <c r="D27" s="490">
        <f>O22*'INCOME STATEMENT'!G29</f>
        <v>78810.086647100907</v>
      </c>
      <c r="E27" s="490">
        <f>D27+('BALANCE SHEET'!G29+'BALANCE SHEET'!G30+'FORECAST SCHEDULES'!H170-'BALANCE SHEET'!G48-'BALANCE SHEET'!G61)</f>
        <v>105803.58664710091</v>
      </c>
      <c r="F27" s="520">
        <f>E27/('INCOME STATEMENT'!H67)</f>
        <v>2622.9259419678938</v>
      </c>
      <c r="G27" s="570">
        <f t="shared" si="1"/>
        <v>1.9978589554118464E-2</v>
      </c>
    </row>
    <row r="28" spans="1:18" ht="16.5" customHeight="1" x14ac:dyDescent="0.3">
      <c r="B28" s="5" t="s">
        <v>999</v>
      </c>
      <c r="C28" s="547">
        <f>P21</f>
        <v>52.865387249053029</v>
      </c>
      <c r="D28" s="504" t="s">
        <v>1000</v>
      </c>
      <c r="E28" s="504" t="s">
        <v>1000</v>
      </c>
      <c r="F28" s="520">
        <f>P21*'INCOME STATEMENT'!G71</f>
        <v>3163.0507407274031</v>
      </c>
      <c r="G28" s="570">
        <f t="shared" si="1"/>
        <v>0.2300172039149162</v>
      </c>
    </row>
    <row r="29" spans="1:18" ht="16.5" customHeight="1" x14ac:dyDescent="0.3">
      <c r="B29" s="506" t="s">
        <v>1001</v>
      </c>
      <c r="C29" s="571">
        <f>P22</f>
        <v>52.865387249053029</v>
      </c>
      <c r="D29" s="9" t="s">
        <v>1000</v>
      </c>
      <c r="E29" s="9" t="s">
        <v>1000</v>
      </c>
      <c r="F29" s="522">
        <f>P22*'INCOME STATEMENT'!G71</f>
        <v>3163.0507407274031</v>
      </c>
      <c r="G29" s="572">
        <f t="shared" si="1"/>
        <v>0.2300172039149162</v>
      </c>
    </row>
    <row r="30" spans="1:18" ht="16.5" customHeight="1" x14ac:dyDescent="0.3">
      <c r="B30" s="5" t="s">
        <v>1002</v>
      </c>
      <c r="C30" s="547">
        <f>N21</f>
        <v>9.126378933791278</v>
      </c>
      <c r="D30" s="490">
        <f>N21*'INCOME STATEMENT'!G9</f>
        <v>104331.66880562984</v>
      </c>
      <c r="E30" s="490">
        <f>D30+('BALANCE SHEET'!G29+'BALANCE SHEET'!G30+'FORECAST SCHEDULES'!H170-'BALANCE SHEET'!G48-'BALANCE SHEET'!G61)</f>
        <v>131325.16880562986</v>
      </c>
      <c r="F30" s="520">
        <f>E30/('INCOME STATEMENT'!H67)</f>
        <v>3255.6192375831688</v>
      </c>
      <c r="G30" s="570">
        <f t="shared" si="1"/>
        <v>0.26601436393737954</v>
      </c>
    </row>
    <row r="31" spans="1:18" ht="16.5" customHeight="1" x14ac:dyDescent="0.3">
      <c r="B31" s="5" t="s">
        <v>1003</v>
      </c>
      <c r="C31" s="547">
        <f>N22</f>
        <v>9.7630165586831961</v>
      </c>
      <c r="D31" s="490">
        <f>N22*'INCOME STATEMENT'!G9</f>
        <v>111609.63373687926</v>
      </c>
      <c r="E31" s="490">
        <f>D31+('BALANCE SHEET'!G29+'BALANCE SHEET'!G30+'FORECAST SCHEDULES'!H170-'BALANCE SHEET'!G48-'BALANCE SHEET'!G61)</f>
        <v>138603.13373687927</v>
      </c>
      <c r="F31" s="520">
        <f>E31/('INCOME STATEMENT'!H67)</f>
        <v>3436.0437735356059</v>
      </c>
      <c r="G31" s="570">
        <f t="shared" si="1"/>
        <v>0.33617614805685503</v>
      </c>
    </row>
    <row r="32" spans="1:18" ht="16.5" customHeight="1" x14ac:dyDescent="0.3">
      <c r="B32" s="498" t="s">
        <v>1004</v>
      </c>
      <c r="C32" s="573">
        <f>Q21</f>
        <v>12.317875337852746</v>
      </c>
      <c r="D32" s="574" t="s">
        <v>1000</v>
      </c>
      <c r="E32" s="574" t="s">
        <v>1000</v>
      </c>
      <c r="F32" s="575">
        <f>Q21*('BALANCE SHEET'!G45/'INCOME STATEMENT'!H67)</f>
        <v>2192.7882379162697</v>
      </c>
      <c r="G32" s="576">
        <f t="shared" si="1"/>
        <v>-0.1472892854829696</v>
      </c>
      <c r="H32" s="477"/>
      <c r="I32" s="477"/>
      <c r="J32" s="477"/>
      <c r="K32" s="477"/>
      <c r="L32" s="477"/>
      <c r="M32" s="477"/>
      <c r="N32" s="477"/>
      <c r="O32" s="477"/>
    </row>
    <row r="33" spans="2:18" ht="16.5" customHeight="1" x14ac:dyDescent="0.3">
      <c r="B33" s="5" t="s">
        <v>1005</v>
      </c>
      <c r="C33" s="547">
        <f>Q22</f>
        <v>12.79872827954782</v>
      </c>
      <c r="D33" s="504" t="s">
        <v>1000</v>
      </c>
      <c r="E33" s="504" t="s">
        <v>1000</v>
      </c>
      <c r="F33" s="520">
        <f>Q22*('BALANCE SHEET'!G45/'INCOME STATEMENT'!H67)</f>
        <v>2278.3881198598879</v>
      </c>
      <c r="G33" s="570">
        <f t="shared" si="1"/>
        <v>-0.11400201440380797</v>
      </c>
    </row>
    <row r="34" spans="2:18" ht="30" customHeight="1" x14ac:dyDescent="0.3">
      <c r="B34" s="5"/>
      <c r="C34" s="519"/>
    </row>
    <row r="35" spans="2:18" ht="30" customHeight="1" x14ac:dyDescent="0.3">
      <c r="B35" s="506" t="s">
        <v>1006</v>
      </c>
      <c r="C35" s="577"/>
      <c r="D35" s="526"/>
      <c r="E35" s="526"/>
      <c r="F35" s="522">
        <f>AVERAGE(F26,F27,F28,F29)</f>
        <v>2895.9942436658021</v>
      </c>
      <c r="G35" s="578">
        <f>F35/2571.55-1</f>
        <v>0.12616680354875531</v>
      </c>
    </row>
    <row r="36" spans="2:18" ht="30" customHeight="1" x14ac:dyDescent="0.3">
      <c r="B36" s="6" t="s">
        <v>1007</v>
      </c>
      <c r="C36" s="519"/>
      <c r="F36" s="539">
        <v>2571.5500000000002</v>
      </c>
    </row>
    <row r="37" spans="2:18" ht="30" customHeight="1" x14ac:dyDescent="0.3">
      <c r="B37" s="5"/>
      <c r="C37" s="519"/>
    </row>
    <row r="38" spans="2:18" ht="16.5" customHeight="1" x14ac:dyDescent="0.3">
      <c r="B38" s="498" t="s">
        <v>1008</v>
      </c>
      <c r="C38" s="579"/>
      <c r="D38" s="477"/>
      <c r="E38" s="477"/>
      <c r="F38" s="477"/>
      <c r="G38" s="477"/>
      <c r="H38" s="477"/>
      <c r="I38" s="477"/>
      <c r="J38" s="477"/>
      <c r="K38" s="477"/>
      <c r="L38" s="477"/>
      <c r="M38" s="477"/>
      <c r="N38" s="477"/>
      <c r="O38" s="477"/>
      <c r="P38" s="477"/>
      <c r="Q38" s="477"/>
      <c r="R38" s="477"/>
    </row>
    <row r="39" spans="2:18" ht="21.75" customHeight="1" x14ac:dyDescent="0.3">
      <c r="B39" s="7" t="s">
        <v>1009</v>
      </c>
      <c r="C39" s="519"/>
    </row>
    <row r="40" spans="2:18" ht="21.75" customHeight="1" x14ac:dyDescent="0.3">
      <c r="B40" s="7" t="s">
        <v>1010</v>
      </c>
    </row>
    <row r="41" spans="2:18" ht="21.75" customHeight="1" x14ac:dyDescent="0.3">
      <c r="B41" s="7" t="s">
        <v>1011</v>
      </c>
    </row>
    <row r="42" spans="2:18" ht="21.75" customHeight="1" x14ac:dyDescent="0.3">
      <c r="B42" s="7" t="s">
        <v>1012</v>
      </c>
    </row>
    <row r="43" spans="2:18" ht="21.75" customHeight="1" x14ac:dyDescent="0.3">
      <c r="B43" s="7" t="s">
        <v>1013</v>
      </c>
    </row>
    <row r="44" spans="2:18" ht="21.75" customHeight="1" x14ac:dyDescent="0.3">
      <c r="B44" s="580" t="s">
        <v>1014</v>
      </c>
    </row>
    <row r="45" spans="2:18" ht="21.75" customHeight="1" x14ac:dyDescent="0.3">
      <c r="B45" s="7" t="s">
        <v>1015</v>
      </c>
    </row>
    <row r="46" spans="2:18" ht="21.75" customHeight="1" x14ac:dyDescent="0.3">
      <c r="B46" s="7" t="s">
        <v>1016</v>
      </c>
    </row>
    <row r="47" spans="2:18" ht="15.75" customHeight="1" x14ac:dyDescent="0.3"/>
    <row r="48" spans="2:18" ht="16.5" customHeight="1" x14ac:dyDescent="0.3">
      <c r="B48" s="477" t="s">
        <v>1017</v>
      </c>
      <c r="C48" s="477"/>
      <c r="D48" s="477"/>
      <c r="E48" s="477"/>
      <c r="F48" s="477"/>
      <c r="G48" s="477"/>
      <c r="H48" s="477"/>
      <c r="I48" s="477"/>
      <c r="J48" s="477"/>
      <c r="K48" s="477"/>
      <c r="L48" s="477"/>
      <c r="M48" s="477"/>
    </row>
    <row r="49" spans="2:12" ht="27.75" customHeight="1" x14ac:dyDescent="0.3">
      <c r="B49" s="494" t="s">
        <v>953</v>
      </c>
      <c r="C49" s="494" t="s">
        <v>954</v>
      </c>
      <c r="D49" s="581" t="s">
        <v>1018</v>
      </c>
      <c r="E49" s="581" t="s">
        <v>1019</v>
      </c>
      <c r="F49" s="581" t="s">
        <v>1020</v>
      </c>
      <c r="G49" s="581" t="s">
        <v>1021</v>
      </c>
      <c r="H49" s="581" t="s">
        <v>1022</v>
      </c>
      <c r="I49" s="581" t="s">
        <v>1023</v>
      </c>
      <c r="J49" s="581" t="s">
        <v>1024</v>
      </c>
      <c r="K49" s="581" t="s">
        <v>1025</v>
      </c>
      <c r="L49" s="581" t="s">
        <v>1026</v>
      </c>
    </row>
    <row r="50" spans="2:12" ht="18" customHeight="1" x14ac:dyDescent="0.3">
      <c r="B50" s="582" t="s">
        <v>970</v>
      </c>
      <c r="C50" s="10" t="s">
        <v>971</v>
      </c>
      <c r="D50" s="583">
        <f>CCA!F5</f>
        <v>103731.1839</v>
      </c>
      <c r="E50" s="584">
        <f t="shared" ref="E50:E55" si="2">D50/86.5/100</f>
        <v>11.99204438150289</v>
      </c>
      <c r="F50" s="585">
        <f>CCA!I5</f>
        <v>11431.880000000001</v>
      </c>
      <c r="G50" s="585">
        <f>CCA!J5</f>
        <v>2060.0200000000004</v>
      </c>
      <c r="H50" s="585">
        <f>CCA!K5</f>
        <v>2413.5100000000002</v>
      </c>
      <c r="I50" s="586">
        <f t="shared" ref="I50:I55" si="3">D50/F50</f>
        <v>9.0738517111796124</v>
      </c>
      <c r="J50" s="586">
        <f t="shared" ref="J50:J55" si="4">D50/G50</f>
        <v>50.354454762575109</v>
      </c>
      <c r="K50" s="586">
        <f t="shared" ref="K50:K55" si="5">D50/H50</f>
        <v>42.979388483992189</v>
      </c>
      <c r="L50" s="586">
        <f>CCA!F5/CCA!M5</f>
        <v>14.445550088847547</v>
      </c>
    </row>
    <row r="51" spans="2:12" ht="18" customHeight="1" x14ac:dyDescent="0.3">
      <c r="B51" s="6" t="s">
        <v>973</v>
      </c>
      <c r="C51" s="504" t="s">
        <v>974</v>
      </c>
      <c r="D51" s="587">
        <f>CCA!F8</f>
        <v>43671.97</v>
      </c>
      <c r="E51" s="588">
        <f t="shared" si="2"/>
        <v>5.0487826589595377</v>
      </c>
      <c r="F51" s="587">
        <f>CCA!I8</f>
        <v>5209.03</v>
      </c>
      <c r="G51" s="587">
        <f>CCA!J8</f>
        <v>1283.56</v>
      </c>
      <c r="H51" s="587">
        <f>CCA!K8</f>
        <v>827.34</v>
      </c>
      <c r="I51" s="541">
        <f t="shared" si="3"/>
        <v>8.3838968099626996</v>
      </c>
      <c r="J51" s="541">
        <f t="shared" si="4"/>
        <v>34.024097042600268</v>
      </c>
      <c r="K51" s="541">
        <f t="shared" si="5"/>
        <v>52.786000918606618</v>
      </c>
      <c r="L51" s="541">
        <f>CCA!F8/CCA!M8</f>
        <v>7.8275559841269269</v>
      </c>
    </row>
    <row r="52" spans="2:12" ht="18" customHeight="1" x14ac:dyDescent="0.3">
      <c r="B52" s="6" t="s">
        <v>975</v>
      </c>
      <c r="C52" s="504" t="s">
        <v>976</v>
      </c>
      <c r="D52" s="587">
        <f>CCA!F9</f>
        <v>31677.73</v>
      </c>
      <c r="E52" s="588">
        <f t="shared" si="2"/>
        <v>3.6621653179190754</v>
      </c>
      <c r="F52" s="587">
        <f>CCA!I9</f>
        <v>5410.53</v>
      </c>
      <c r="G52" s="587">
        <f>CCA!J9</f>
        <v>756.64</v>
      </c>
      <c r="H52" s="587">
        <f>CCA!K9</f>
        <v>527.41999999999996</v>
      </c>
      <c r="I52" s="541">
        <f t="shared" si="3"/>
        <v>5.8548293790072323</v>
      </c>
      <c r="J52" s="541">
        <f t="shared" si="4"/>
        <v>41.866316874603513</v>
      </c>
      <c r="K52" s="541">
        <f t="shared" si="5"/>
        <v>60.061677600394376</v>
      </c>
      <c r="L52" s="541">
        <f>CCA!F9/CCA!M9</f>
        <v>15.235098063734211</v>
      </c>
    </row>
    <row r="53" spans="2:12" ht="18" customHeight="1" x14ac:dyDescent="0.3">
      <c r="B53" s="6" t="s">
        <v>980</v>
      </c>
      <c r="C53" s="504" t="s">
        <v>981</v>
      </c>
      <c r="D53" s="587">
        <f>CCA!F14</f>
        <v>328210.02</v>
      </c>
      <c r="E53" s="588">
        <f t="shared" si="2"/>
        <v>37.943354913294804</v>
      </c>
      <c r="F53" s="587">
        <f>CCA!I14</f>
        <v>24511.11</v>
      </c>
      <c r="G53" s="587">
        <f>CCA!J14</f>
        <v>7578.91</v>
      </c>
      <c r="H53" s="587">
        <f>CCA!K14</f>
        <v>5321.44</v>
      </c>
      <c r="I53" s="541">
        <f t="shared" si="3"/>
        <v>13.390255276076848</v>
      </c>
      <c r="J53" s="541">
        <f t="shared" si="4"/>
        <v>43.305702271170922</v>
      </c>
      <c r="K53" s="541">
        <f t="shared" si="5"/>
        <v>61.676918277759412</v>
      </c>
      <c r="L53" s="541">
        <f>CCA!F14/CCA!M14</f>
        <v>16.4163862744794</v>
      </c>
    </row>
    <row r="54" spans="2:12" ht="18" customHeight="1" x14ac:dyDescent="0.3">
      <c r="B54" s="6" t="s">
        <v>982</v>
      </c>
      <c r="C54" s="504" t="s">
        <v>983</v>
      </c>
      <c r="D54" s="587">
        <f>CCA!F15</f>
        <v>308945.46999999997</v>
      </c>
      <c r="E54" s="588">
        <f t="shared" si="2"/>
        <v>35.716239306358382</v>
      </c>
      <c r="F54" s="587">
        <f>CCA!I15</f>
        <v>33589.18</v>
      </c>
      <c r="G54" s="587">
        <f>CCA!J15</f>
        <v>12229.25</v>
      </c>
      <c r="H54" s="587">
        <f>CCA!K15</f>
        <v>8364.1299999999992</v>
      </c>
      <c r="I54" s="541">
        <f t="shared" si="3"/>
        <v>9.197767554909051</v>
      </c>
      <c r="J54" s="541">
        <f t="shared" si="4"/>
        <v>25.262830508821061</v>
      </c>
      <c r="K54" s="541">
        <f t="shared" si="5"/>
        <v>36.936952199451703</v>
      </c>
      <c r="L54" s="541">
        <f>CCA!F15/CCA!M15</f>
        <v>8.830755145680298</v>
      </c>
    </row>
    <row r="55" spans="2:12" ht="18" customHeight="1" x14ac:dyDescent="0.3">
      <c r="B55" s="6" t="s">
        <v>1027</v>
      </c>
      <c r="C55" s="504" t="s">
        <v>985</v>
      </c>
      <c r="D55" s="587">
        <f>CCA!F16</f>
        <v>56390.41</v>
      </c>
      <c r="E55" s="588">
        <f t="shared" si="2"/>
        <v>6.5191225433526014</v>
      </c>
      <c r="F55" s="587">
        <f>CCA!I16</f>
        <v>3695.45</v>
      </c>
      <c r="G55" s="587">
        <f>CCA!J16</f>
        <v>823.61</v>
      </c>
      <c r="H55" s="587">
        <f>CCA!K16</f>
        <v>549.63</v>
      </c>
      <c r="I55" s="541">
        <f t="shared" si="3"/>
        <v>15.259416309245154</v>
      </c>
      <c r="J55" s="541">
        <f t="shared" si="4"/>
        <v>68.467369264579119</v>
      </c>
      <c r="K55" s="541">
        <f t="shared" si="5"/>
        <v>102.5970380073868</v>
      </c>
      <c r="L55" s="541">
        <f>CCA!F16/CCA!M16</f>
        <v>14.06612953516507</v>
      </c>
    </row>
    <row r="56" spans="2:12" ht="15.75" customHeight="1" x14ac:dyDescent="0.3">
      <c r="B56" s="506" t="s">
        <v>1028</v>
      </c>
      <c r="C56" s="526"/>
      <c r="D56" s="526"/>
      <c r="E56" s="526"/>
      <c r="F56" s="526"/>
      <c r="G56" s="526"/>
      <c r="H56" s="526"/>
      <c r="I56" s="589">
        <f>AVERAGE(I51:I55)</f>
        <v>10.417233065840197</v>
      </c>
      <c r="J56" s="589">
        <f>AVERAGE(J51:J55)</f>
        <v>42.585263192354979</v>
      </c>
      <c r="K56" s="589">
        <f>AVERAGE(K51:K55)</f>
        <v>62.811717400719786</v>
      </c>
      <c r="L56" s="589">
        <f>AVERAGE(L51:L55)</f>
        <v>12.475185000637181</v>
      </c>
    </row>
    <row r="57" spans="2:12" ht="15.75" customHeight="1" x14ac:dyDescent="0.3">
      <c r="B57" s="506" t="s">
        <v>1029</v>
      </c>
      <c r="C57" s="526"/>
      <c r="D57" s="526"/>
      <c r="E57" s="526"/>
      <c r="F57" s="526"/>
      <c r="G57" s="526"/>
      <c r="H57" s="526"/>
      <c r="I57" s="589">
        <f>MEDIAN(I51:I55)</f>
        <v>9.197767554909051</v>
      </c>
      <c r="J57" s="589">
        <f>MEDIAN(J51:J55)</f>
        <v>41.866316874603513</v>
      </c>
      <c r="K57" s="589">
        <f>MEDIAN(K51:K55)</f>
        <v>60.061677600394376</v>
      </c>
      <c r="L57" s="589">
        <f>MEDIAN(L51:L55)</f>
        <v>14.06612953516507</v>
      </c>
    </row>
    <row r="58" spans="2:12" ht="15.75" customHeight="1" x14ac:dyDescent="0.3"/>
    <row r="59" spans="2:12" ht="15.75" customHeight="1" x14ac:dyDescent="0.3">
      <c r="B59" s="590" t="s">
        <v>1030</v>
      </c>
      <c r="C59" s="591"/>
      <c r="D59" s="591"/>
      <c r="E59" s="591"/>
      <c r="F59" s="591"/>
      <c r="G59" s="591"/>
      <c r="H59" s="591"/>
      <c r="I59" s="592">
        <f>I50/I56-1</f>
        <v>-0.12895759806562745</v>
      </c>
      <c r="J59" s="592">
        <f>J50/J56-1</f>
        <v>0.18243850073503531</v>
      </c>
      <c r="K59" s="592">
        <f>K50/K56-1</f>
        <v>-0.31574250374660717</v>
      </c>
      <c r="L59" s="592">
        <f>L50/L56-1</f>
        <v>0.15794275500601618</v>
      </c>
    </row>
    <row r="60" spans="2:12" ht="15.75" customHeight="1" x14ac:dyDescent="0.3"/>
    <row r="61" spans="2:12" ht="45" customHeight="1" x14ac:dyDescent="0.3">
      <c r="B61" s="528" t="s">
        <v>1031</v>
      </c>
    </row>
    <row r="62" spans="2:12" ht="15.75" customHeight="1" x14ac:dyDescent="0.3"/>
    <row r="63" spans="2:12" ht="15.75" customHeight="1" x14ac:dyDescent="0.3"/>
    <row r="64" spans="2: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sheetPr>
  <dimension ref="B1:K1000"/>
  <sheetViews>
    <sheetView showGridLines="0" zoomScaleNormal="100" workbookViewId="0">
      <selection activeCell="E29" sqref="E29"/>
    </sheetView>
  </sheetViews>
  <sheetFormatPr defaultColWidth="12.6640625" defaultRowHeight="14.4" x14ac:dyDescent="0.3"/>
  <cols>
    <col min="1" max="1" width="3" customWidth="1"/>
    <col min="2" max="2" width="94.77734375" bestFit="1" customWidth="1"/>
    <col min="3" max="3" width="3" customWidth="1"/>
    <col min="4" max="4" width="11.109375" bestFit="1" customWidth="1"/>
    <col min="5" max="5" width="50" bestFit="1" customWidth="1"/>
    <col min="6" max="10" width="5.5546875" bestFit="1" customWidth="1"/>
    <col min="11" max="26" width="3" customWidth="1"/>
  </cols>
  <sheetData>
    <row r="1" spans="2:11" ht="21.75" customHeight="1" x14ac:dyDescent="0.3">
      <c r="B1" s="1" t="s">
        <v>1032</v>
      </c>
      <c r="C1" s="2"/>
      <c r="D1" s="2"/>
      <c r="E1" s="2"/>
      <c r="F1" s="2"/>
      <c r="G1" s="2"/>
      <c r="H1" s="2"/>
      <c r="I1" s="2"/>
      <c r="J1" s="2"/>
    </row>
    <row r="2" spans="2:11" ht="15.75" customHeight="1" x14ac:dyDescent="0.3">
      <c r="B2" s="7" t="s">
        <v>1033</v>
      </c>
    </row>
    <row r="3" spans="2:11" ht="15.75" customHeight="1" x14ac:dyDescent="0.3">
      <c r="B3" s="7" t="s">
        <v>1034</v>
      </c>
      <c r="C3" s="593"/>
    </row>
    <row r="4" spans="2:11" ht="15.75" customHeight="1" x14ac:dyDescent="0.3">
      <c r="B4" s="529"/>
      <c r="C4" s="530"/>
      <c r="D4" s="530"/>
      <c r="E4" s="530"/>
      <c r="F4" s="530"/>
      <c r="G4" s="530"/>
    </row>
    <row r="5" spans="2:11" ht="16.5" customHeight="1" x14ac:dyDescent="0.3">
      <c r="B5" s="594" t="s">
        <v>1035</v>
      </c>
      <c r="C5" s="477"/>
      <c r="D5" s="595" t="s">
        <v>1036</v>
      </c>
      <c r="E5" s="595" t="s">
        <v>1037</v>
      </c>
      <c r="F5" s="595" t="s">
        <v>1038</v>
      </c>
      <c r="G5" s="595" t="s">
        <v>1039</v>
      </c>
      <c r="H5" s="595" t="s">
        <v>1040</v>
      </c>
      <c r="I5" s="595" t="s">
        <v>1041</v>
      </c>
      <c r="J5" s="595" t="s">
        <v>1042</v>
      </c>
      <c r="K5" s="477"/>
    </row>
    <row r="6" spans="2:11" ht="21.75" customHeight="1" x14ac:dyDescent="0.3">
      <c r="B6" s="506" t="s">
        <v>1043</v>
      </c>
      <c r="D6" s="596">
        <f>(DCF!D11/(1+0.1)^0.5+DCF!E11/(1+0.1)^1.5+DCF!F11/(1+0.1)^2.5+DCF!G11/(1+0.1)^3.5+DCF!H11/(1+0.1)^4.5+(DCF!H11*(1+0.04)/(0.1-0.04))/(1+0.1)^5+DCF!K51)/DCF!K57</f>
        <v>2746.4153478551566</v>
      </c>
      <c r="E6" s="596">
        <f>(DCF!D11/(1+0.1)^0.5+DCF!E11/(1+0.1)^1.5+DCF!F11/(1+0.1)^2.5+DCF!G11/(1+0.1)^3.5+DCF!H11/(1+0.1)^4.5+(DCF!H11*(1+0.045)/(0.1-0.045))/(1+0.1)^5+DCF!K51)/DCF!K57</f>
        <v>2935.6562205307714</v>
      </c>
      <c r="F6" s="596">
        <f>(DCF!D11/(1+0.1)^0.5+DCF!E11/(1+0.1)^1.5+DCF!F11/(1+0.1)^2.5+DCF!G11/(1+0.1)^3.5+DCF!H11/(1+0.1)^4.5+(DCF!H11*(1+0.05)/(0.1-0.05))/(1+0.1)^5+DCF!K51)/DCF!K57</f>
        <v>3162.7452677415099</v>
      </c>
      <c r="G6" s="597">
        <f>(DCF!D11/(1+0.1)^0.5+DCF!E11/(1+0.1)^1.5+DCF!F11/(1+0.1)^2.5+DCF!G11/(1+0.1)^3.5+DCF!H11/(1+0.1)^4.5+(DCF!H11*(1+0.055)/(0.1-0.055))/(1+0.1)^5+DCF!K51)/DCF!K57</f>
        <v>3440.298547665745</v>
      </c>
      <c r="H6" s="596">
        <f>(DCF!D11/(1+0.1)^0.5+DCF!E11/(1+0.1)^1.5+DCF!F11/(1+0.1)^2.5+DCF!G11/(1+0.1)^3.5+DCF!H11/(1+0.1)^4.5+(DCF!H11*(1+0.06)/(0.1-0.06))/(1+0.1)^5+DCF!K51)/DCF!K57</f>
        <v>3787.2401475710399</v>
      </c>
      <c r="I6" s="596">
        <f>(DCF!D11/(1+0.1)^0.5+DCF!E11/(1+0.1)^1.5+DCF!F11/(1+0.1)^2.5+DCF!G11/(1+0.1)^3.5+DCF!H11/(1+0.1)^4.5+(DCF!H11*(1+0.065)/(0.1-0.065))/(1+0.1)^5+DCF!K51)/DCF!K57</f>
        <v>4233.3079188778474</v>
      </c>
      <c r="J6" s="596">
        <f>(DCF!D11/(1+0.1)^0.5+DCF!E11/(1+0.1)^1.5+DCF!F11/(1+0.1)^2.5+DCF!G11/(1+0.1)^3.5+DCF!H11/(1+0.1)^4.5+(DCF!H11*(1+0.07)/(0.1-0.07))/(1+0.1)^5+DCF!K51)/DCF!K57</f>
        <v>4828.0649472869245</v>
      </c>
    </row>
    <row r="7" spans="2:11" ht="21.75" customHeight="1" x14ac:dyDescent="0.3">
      <c r="B7" s="506" t="s">
        <v>1044</v>
      </c>
      <c r="D7" s="596">
        <f>(DCF!D11/(1+0.12)^0.5+DCF!E11/(1+0.12)^1.5+DCF!F11/(1+0.12)^2.5+DCF!G11/(1+0.12)^3.5+DCF!H11/(1+0.12)^4.5+(DCF!H11*(1+0.04)/(0.12-0.04))/(1+0.12)^5+DCF!K51)/DCF!K57</f>
        <v>2094.2945390829036</v>
      </c>
      <c r="E7" s="596">
        <f>(DCF!D11/(1+0.12)^0.5+DCF!E11/(1+0.12)^1.5+DCF!F11/(1+0.12)^2.5+DCF!G11/(1+0.12)^3.5+DCF!H11/(1+0.12)^4.5+(DCF!H11*(1+0.045)/(0.12-0.045))/(1+0.12)^5+DCF!K51)/DCF!K57</f>
        <v>2191.1393334973823</v>
      </c>
      <c r="F7" s="596">
        <f>(DCF!D11/(1+0.12)^0.5+DCF!E11/(1+0.12)^1.5+DCF!F11/(1+0.12)^2.5+DCF!G11/(1+0.12)^3.5+DCF!H11/(1+0.12)^4.5+(DCF!H11*(1+0.05)/(0.12-0.05))/(1+0.12)^5+DCF!K51)/DCF!K57</f>
        <v>2301.8190985425017</v>
      </c>
      <c r="G7" s="597">
        <f>(DCF!D11/(1+0.12)^0.5+DCF!E11/(1+0.12)^1.5+DCF!F11/(1+0.12)^2.5+DCF!G11/(1+0.12)^3.5+DCF!H11/(1+0.12)^4.5+(DCF!H11*(1+0.055)/(0.12-0.055))/(1+0.12)^5+DCF!K51)/DCF!K57</f>
        <v>2429.5265197484077</v>
      </c>
      <c r="H7" s="596">
        <f>(DCF!D11/(1+0.12)^0.5+DCF!E11/(1+0.12)^1.5+DCF!F11/(1+0.12)^2.5+DCF!G11/(1+0.12)^3.5+DCF!H11/(1+0.12)^4.5+(DCF!H11*(1+0.06)/(0.12-0.06))/(1+0.12)^5+DCF!K51)/DCF!K57</f>
        <v>2578.5185111552987</v>
      </c>
      <c r="I7" s="596">
        <f>(DCF!D11/(1+0.12)^0.5+DCF!E11/(1+0.12)^1.5+DCF!F11/(1+0.12)^2.5+DCF!G11/(1+0.12)^3.5+DCF!H11/(1+0.12)^4.5+(DCF!H11*(1+0.065)/(0.12-0.065))/(1+0.12)^5+DCF!K51)/DCF!K57</f>
        <v>2754.5999555452609</v>
      </c>
      <c r="J7" s="596">
        <f>(DCF!D11/(1+0.12)^0.5+DCF!E11/(1+0.12)^1.5+DCF!F11/(1+0.12)^2.5+DCF!G11/(1+0.12)^3.5+DCF!H11/(1+0.12)^4.5+(DCF!H11*(1+0.07)/(0.12-0.07))/(1+0.12)^5+DCF!K51)/DCF!K57</f>
        <v>2965.8976888132147</v>
      </c>
    </row>
    <row r="8" spans="2:11" ht="21.75" customHeight="1" x14ac:dyDescent="0.3">
      <c r="B8" s="506" t="s">
        <v>1045</v>
      </c>
      <c r="D8" s="596">
        <f>(DCF!D11/(1+0.14)^0.5+DCF!E11/(1+0.14)^1.5+DCF!F11/(1+0.14)^2.5+DCF!G11/(1+0.14)^3.5+DCF!H11/(1+0.14)^4.5+(DCF!H11*(1+0.04)/(0.14-0.04))/(1+0.14)^5+DCF!K51)/DCF!K57</f>
        <v>1702.6586347113112</v>
      </c>
      <c r="E8" s="596">
        <f>(DCF!D11/(1+0.14)^0.5+DCF!E11/(1+0.14)^1.5+DCF!F11/(1+0.14)^2.5+DCF!G11/(1+0.14)^3.5+DCF!H11/(1+0.14)^4.5+(DCF!H11*(1+0.045)/(0.14-0.045))/(1+0.14)^5+DCF!K51)/DCF!K57</f>
        <v>1759.6431176532894</v>
      </c>
      <c r="F8" s="596">
        <f>(DCF!D11/(1+0.14)^0.5+DCF!E11/(1+0.14)^1.5+DCF!F11/(1+0.14)^2.5+DCF!G11/(1+0.14)^3.5+DCF!H11/(1+0.14)^4.5+(DCF!H11*(1+0.05)/(0.14-0.05))/(1+0.14)^5+DCF!K51)/DCF!K57</f>
        <v>1822.9592098110438</v>
      </c>
      <c r="G8" s="597">
        <f>(DCF!D11/(1+0.14)^0.5+DCF!E11/(1+0.14)^1.5+DCF!F11/(1+0.14)^2.5+DCF!G11/(1+0.14)^3.5+DCF!H11/(1+0.14)^4.5+(DCF!H11*(1+0.055)/(0.14-0.055))/(1+0.14)^5+DCF!K51)/DCF!K57</f>
        <v>1893.7242539873569</v>
      </c>
      <c r="H8" s="596">
        <f>(DCF!D11/(1+0.14)^0.5+DCF!E11/(1+0.14)^1.5+DCF!F11/(1+0.14)^2.5+DCF!G11/(1+0.14)^3.5+DCF!H11/(1+0.14)^4.5+(DCF!H11*(1+0.06)/(0.14-0.06))/(1+0.14)^5+DCF!K51)/DCF!K57</f>
        <v>1973.3349286857097</v>
      </c>
      <c r="I8" s="596">
        <f>(DCF!D11/(1+0.14)^0.5+DCF!E11/(1+0.14)^1.5+DCF!F11/(1+0.14)^2.5+DCF!G11/(1+0.14)^3.5+DCF!H11/(1+0.14)^4.5+(DCF!H11*(1+0.065)/(0.14-0.065))/(1+0.14)^5+DCF!K51)/DCF!K57</f>
        <v>2063.5603600105092</v>
      </c>
      <c r="J8" s="596">
        <f>(DCF!D11/(1+0.14)^0.5+DCF!E11/(1+0.14)^1.5+DCF!F11/(1+0.14)^2.5+DCF!G11/(1+0.14)^3.5+DCF!H11/(1+0.14)^4.5+(DCF!H11*(1+0.07)/(0.14-0.07))/(1+0.14)^5+DCF!K51)/DCF!K57</f>
        <v>2166.6751386674237</v>
      </c>
    </row>
    <row r="9" spans="2:11" ht="21.75" customHeight="1" x14ac:dyDescent="0.3">
      <c r="B9" s="506" t="s">
        <v>1046</v>
      </c>
      <c r="D9" s="598">
        <f>(DCF!D11/(1+0.16)^0.5+DCF!E11/(1+0.16)^1.5+DCF!F11/(1+0.16)^2.5+DCF!G11/(1+0.16)^3.5+DCF!H11/(1+0.16)^4.5+(DCF!H11*(1+0.04)/(0.16-0.04))/(1+0.16)^5+DCF!K51)/DCF!K57</f>
        <v>1441.2662768280823</v>
      </c>
      <c r="E9" s="598">
        <f>(DCF!D11/(1+0.16)^0.5+DCF!E11/(1+0.16)^1.5+DCF!F11/(1+0.16)^2.5+DCF!G11/(1+0.16)^3.5+DCF!H11/(1+0.16)^4.5+(DCF!H11*(1+0.045)/(0.16-0.045))/(1+0.16)^5+DCF!K51)/DCF!K57</f>
        <v>1477.8584817438862</v>
      </c>
      <c r="F9" s="598">
        <f>(DCF!D11/(1+0.16)^0.5+DCF!E11/(1+0.16)^1.5+DCF!F11/(1+0.16)^2.5+DCF!G11/(1+0.16)^3.5+DCF!H11/(1+0.16)^4.5+(DCF!H11*(1+0.05)/(0.16-0.05))/(1+0.16)^5+DCF!K51)/DCF!K57</f>
        <v>1517.7772507429452</v>
      </c>
      <c r="G9" s="599">
        <f>(DCF!D11/(1+0.16)^0.5+DCF!E11/(1+0.16)^1.5+DCF!F11/(1+0.16)^2.5+DCF!G11/(1+0.16)^3.5+DCF!H11/(1+0.16)^4.5+(DCF!H11*(1+0.055)/(0.16-0.055))/(1+0.16)^5+DCF!K51)/DCF!K57</f>
        <v>1561.4978072657241</v>
      </c>
      <c r="H9" s="598">
        <f>(DCF!D11/(1+0.16)^0.5+DCF!E11/(1+0.16)^1.5+DCF!F11/(1+0.16)^2.5+DCF!G11/(1+0.16)^3.5+DCF!H11/(1+0.16)^4.5+(DCF!H11*(1+0.06)/(0.16-0.06))/(1+0.16)^5+DCF!K51)/DCF!K57</f>
        <v>1609.5904194407808</v>
      </c>
      <c r="I9" s="598">
        <f>(DCF!D11/(1+0.16)^0.5+DCF!E11/(1+0.16)^1.5+DCF!F11/(1+0.16)^2.5+DCF!G11/(1+0.16)^3.5+DCF!H11/(1+0.16)^4.5+(DCF!H11*(1+0.065)/(0.16-0.065))/(1+0.16)^5+DCF!K51)/DCF!K57</f>
        <v>1662.7454118447906</v>
      </c>
      <c r="J9" s="598">
        <f>(DCF!D11/(1+0.16)^0.5+DCF!E11/(1+0.16)^1.5+DCF!F11/(1+0.16)^2.5+DCF!G11/(1+0.16)^3.5+DCF!H11/(1+0.16)^4.5+(DCF!H11*(1+0.07)/(0.16-0.07))/(1+0.16)^5+DCF!K51)/DCF!K57</f>
        <v>1721.8065145159132</v>
      </c>
    </row>
    <row r="10" spans="2:11" ht="21.75" customHeight="1" x14ac:dyDescent="0.3">
      <c r="B10" s="506" t="s">
        <v>1047</v>
      </c>
      <c r="D10" s="596">
        <f>(DCF!D11/(1+0.18)^0.5+DCF!E11/(1+0.18)^1.5+DCF!F11/(1+0.18)^2.5+DCF!G11/(1+0.18)^3.5+DCF!H11/(1+0.18)^4.5+(DCF!H11*(1+0.04)/(0.18-0.04))/(1+0.18)^5+DCF!K51)/DCF!K57</f>
        <v>1254.3069967057761</v>
      </c>
      <c r="E10" s="596">
        <f>(DCF!D11/(1+0.18)^0.5+DCF!E11/(1+0.18)^1.5+DCF!F11/(1+0.18)^2.5+DCF!G11/(1+0.18)^3.5+DCF!H11/(1+0.18)^4.5+(DCF!H11*(1+0.045)/(0.18-0.045))/(1+0.18)^5+DCF!K51)/DCF!K57</f>
        <v>1279.259251083633</v>
      </c>
      <c r="F10" s="596">
        <f>(DCF!D11/(1+0.18)^0.5+DCF!E11/(1+0.18)^1.5+DCF!F11/(1+0.18)^2.5+DCF!G11/(1+0.18)^3.5+DCF!H11/(1+0.18)^4.5+(DCF!H11*(1+0.05)/(0.18-0.05))/(1+0.18)^5+DCF!K51)/DCF!K57</f>
        <v>1306.1309096444018</v>
      </c>
      <c r="G10" s="597">
        <f>(DCF!D11/(1+0.18)^0.5+DCF!E11/(1+0.18)^1.5+DCF!F11/(1+0.18)^2.5+DCF!G11/(1+0.18)^3.5+DCF!H11/(1+0.18)^4.5+(DCF!H11*(1+0.055)/(0.18-0.055))/(1+0.18)^5+DCF!K51)/DCF!K57</f>
        <v>1335.1523008900324</v>
      </c>
      <c r="H10" s="596">
        <f>(DCF!D11/(1+0.18)^0.5+DCF!E11/(1+0.18)^1.5+DCF!F11/(1+0.18)^2.5+DCF!G11/(1+0.18)^3.5+DCF!H11/(1+0.18)^4.5+(DCF!H11*(1+0.06)/(0.18-0.06))/(1+0.18)^5+DCF!K51)/DCF!K57</f>
        <v>1366.5921414061322</v>
      </c>
      <c r="I10" s="596">
        <f>(DCF!D11/(1+0.18)^0.5+DCF!E11/(1+0.18)^1.5+DCF!F11/(1+0.18)^2.5+DCF!G11/(1+0.18)^3.5+DCF!H11/(1+0.18)^4.5+(DCF!H11*(1+0.065)/(0.18-0.065))/(1+0.18)^5+DCF!K51)/DCF!K57</f>
        <v>1400.7658810975449</v>
      </c>
      <c r="J10" s="596">
        <f>(DCF!D11/(1+0.18)^0.5+DCF!E11/(1+0.18)^1.5+DCF!F11/(1+0.18)^2.5+DCF!G11/(1+0.18)^3.5+DCF!H11/(1+0.18)^4.5+(DCF!H11*(1+0.07)/(0.18-0.07))/(1+0.18)^5+DCF!K51)/DCF!K57</f>
        <v>1438.0463243972679</v>
      </c>
    </row>
    <row r="11" spans="2:11" ht="21.75" customHeight="1" x14ac:dyDescent="0.3">
      <c r="B11" s="506" t="s">
        <v>1048</v>
      </c>
      <c r="D11" s="596">
        <f>(DCF!D11/(1+0.2)^0.5+DCF!E11/(1+0.2)^1.5+DCF!F11/(1+0.2)^2.5+DCF!G11/(1+0.2)^3.5+DCF!H11/(1+0.2)^4.5+(DCF!H11*(1+0.04)/(0.2-0.04))/(1+0.2)^5+DCF!K51)/DCF!K57</f>
        <v>1113.8801092728345</v>
      </c>
      <c r="E11" s="596">
        <f>(DCF!D11/(1+0.2)^0.5+DCF!E11/(1+0.2)^1.5+DCF!F11/(1+0.2)^2.5+DCF!G11/(1+0.2)^3.5+DCF!H11/(1+0.2)^4.5+(DCF!H11*(1+0.045)/(0.2-0.045))/(1+0.2)^5+DCF!K51)/DCF!K57</f>
        <v>1131.6597490445267</v>
      </c>
      <c r="F11" s="596">
        <f>(DCF!D11/(1+0.2)^0.5+DCF!E11/(1+0.2)^1.5+DCF!F11/(1+0.2)^2.5+DCF!G11/(1+0.2)^3.5+DCF!H11/(1+0.2)^4.5+(DCF!H11*(1+0.05)/(0.2-0.05))/(1+0.2)^5+DCF!K51)/DCF!K57</f>
        <v>1150.624698134332</v>
      </c>
      <c r="G11" s="597">
        <f>(DCF!D11/(1+0.2)^0.5+DCF!E11/(1+0.2)^1.5+DCF!F11/(1+0.2)^2.5+DCF!G11/(1+0.2)^3.5+DCF!H11/(1+0.2)^4.5+(DCF!H11*(1+0.055)/(0.2-0.055))/(1+0.2)^5+DCF!K51)/DCF!K57</f>
        <v>1170.897574747572</v>
      </c>
      <c r="H11" s="596">
        <f>(DCF!D11/(1+0.2)^0.5+DCF!E11/(1+0.2)^1.5+DCF!F11/(1+0.2)^2.5+DCF!G11/(1+0.2)^3.5+DCF!H11/(1+0.2)^4.5+(DCF!H11*(1+0.06)/(0.2-0.06))/(1+0.2)^5+DCF!K51)/DCF!K57</f>
        <v>1192.6185139760435</v>
      </c>
      <c r="I11" s="596">
        <f>(DCF!D11/(1+0.2)^0.5+DCF!E11/(1+0.2)^1.5+DCF!F11/(1+0.2)^2.5+DCF!G11/(1+0.2)^3.5+DCF!H11/(1+0.2)^4.5+(DCF!H11*(1+0.065)/(0.2-0.065))/(1+0.2)^5+DCF!K51)/DCF!K57</f>
        <v>1215.9484116658832</v>
      </c>
      <c r="J11" s="596">
        <f>(DCF!D11/(1+0.2)^0.5+DCF!E11/(1+0.2)^1.5+DCF!F11/(1+0.2)^2.5+DCF!G11/(1+0.2)^3.5+DCF!H11/(1+0.2)^4.5+(DCF!H11*(1+0.07)/(0.2-0.07))/(1+0.2)^5+DCF!K51)/DCF!K57</f>
        <v>1241.072916870326</v>
      </c>
    </row>
    <row r="12" spans="2:11" ht="21.75" customHeight="1" x14ac:dyDescent="0.3">
      <c r="B12" s="506" t="s">
        <v>1049</v>
      </c>
      <c r="D12" s="596">
        <f>(DCF!D11/(1+0.22)^0.5+DCF!E11/(1+0.22)^1.5+DCF!F11/(1+0.22)^2.5+DCF!G11/(1+0.22)^3.5+DCF!H11/(1+0.22)^4.5+(DCF!H11*(1+0.04)/(0.22-0.04))/(1+0.22)^5+DCF!K51)/DCF!K57</f>
        <v>1004.4880382667915</v>
      </c>
      <c r="E12" s="596">
        <f>(DCF!D11/(1+0.22)^0.5+DCF!E11/(1+0.22)^1.5+DCF!F11/(1+0.22)^2.5+DCF!G11/(1+0.22)^3.5+DCF!H11/(1+0.22)^4.5+(DCF!H11*(1+0.045)/(0.22-0.045))/(1+0.22)^5+DCF!K51)/DCF!K57</f>
        <v>1017.5904048500995</v>
      </c>
      <c r="F12" s="596">
        <f>(DCF!D11/(1+0.22)^0.5+DCF!E11/(1+0.22)^1.5+DCF!F11/(1+0.22)^2.5+DCF!G11/(1+0.22)^3.5+DCF!H11/(1+0.22)^4.5+(DCF!H11*(1+0.05)/(0.22-0.05))/(1+0.22)^5+DCF!K51)/DCF!K57</f>
        <v>1031.4634988794842</v>
      </c>
      <c r="G12" s="597">
        <f>(DCF!D11/(1+0.22)^0.5+DCF!E11/(1+0.22)^1.5+DCF!F11/(1+0.22)^2.5+DCF!G11/(1+0.22)^3.5+DCF!H11/(1+0.22)^4.5+(DCF!H11*(1+0.055)/(0.22-0.055))/(1+0.22)^5+DCF!K51)/DCF!K57</f>
        <v>1046.1773864864074</v>
      </c>
      <c r="H12" s="596">
        <f>(DCF!D11/(1+0.22)^0.5+DCF!E11/(1+0.22)^1.5+DCF!F11/(1+0.22)^2.5+DCF!G11/(1+0.22)^3.5+DCF!H11/(1+0.22)^4.5+(DCF!H11*(1+0.06)/(0.22-0.06))/(1+0.22)^5+DCF!K51)/DCF!K57</f>
        <v>1061.8108920687635</v>
      </c>
      <c r="I12" s="596">
        <f>(DCF!D11/(1+0.22)^0.5+DCF!E11/(1+0.22)^1.5+DCF!F11/(1+0.22)^2.5+DCF!G11/(1+0.22)^3.5+DCF!H11/(1+0.22)^4.5+(DCF!H11*(1+0.065)/(0.22-0.065))/(1+0.22)^5+DCF!K51)/DCF!K57</f>
        <v>1078.4530109144969</v>
      </c>
      <c r="J12" s="596">
        <f>(DCF!D11/(1+0.22)^0.5+DCF!E11/(1+0.22)^1.5+DCF!F11/(1+0.22)^2.5+DCF!G11/(1+0.22)^3.5+DCF!H11/(1+0.22)^4.5+(DCF!H11*(1+0.07)/(0.22-0.07))/(1+0.22)^5+DCF!K51)/DCF!K57</f>
        <v>1096.2046043499463</v>
      </c>
    </row>
    <row r="13" spans="2:11" ht="15.75" customHeight="1" x14ac:dyDescent="0.3">
      <c r="B13" s="529"/>
      <c r="C13" s="530"/>
      <c r="D13" s="530"/>
      <c r="E13" s="530"/>
      <c r="F13" s="530"/>
      <c r="G13" s="530"/>
    </row>
    <row r="14" spans="2:11" ht="15.75" customHeight="1" x14ac:dyDescent="0.3">
      <c r="B14" s="5" t="s">
        <v>1050</v>
      </c>
      <c r="D14" s="600" t="s">
        <v>1051</v>
      </c>
      <c r="E14" s="601" t="s">
        <v>1052</v>
      </c>
    </row>
    <row r="15" spans="2:11" ht="15.75" customHeight="1" x14ac:dyDescent="0.3">
      <c r="B15" s="602"/>
      <c r="D15" s="603" t="s">
        <v>1053</v>
      </c>
      <c r="E15" s="604" t="s">
        <v>1054</v>
      </c>
    </row>
    <row r="16" spans="2:11" ht="15.75" customHeight="1" x14ac:dyDescent="0.3">
      <c r="B16" s="602"/>
      <c r="D16" s="605" t="s">
        <v>1055</v>
      </c>
      <c r="E16" s="6" t="s">
        <v>1056</v>
      </c>
    </row>
    <row r="17" spans="2:11" ht="15.75" customHeight="1" x14ac:dyDescent="0.3">
      <c r="B17" s="602"/>
      <c r="D17" s="5" t="s">
        <v>1057</v>
      </c>
      <c r="E17" s="7" t="s">
        <v>1058</v>
      </c>
    </row>
    <row r="18" spans="2:11" ht="15.75" customHeight="1" x14ac:dyDescent="0.3">
      <c r="B18" s="602"/>
    </row>
    <row r="19" spans="2:11" ht="16.5" customHeight="1" x14ac:dyDescent="0.3">
      <c r="B19" s="503" t="s">
        <v>1059</v>
      </c>
      <c r="C19" s="477"/>
      <c r="D19" s="477"/>
      <c r="E19" s="477"/>
      <c r="F19" s="477"/>
      <c r="G19" s="477"/>
      <c r="H19" s="477"/>
      <c r="I19" s="477"/>
      <c r="J19" s="477"/>
      <c r="K19" s="477"/>
    </row>
    <row r="20" spans="2:11" ht="60" customHeight="1" x14ac:dyDescent="0.3">
      <c r="B20" s="528" t="s">
        <v>1060</v>
      </c>
    </row>
    <row r="21" spans="2:11" ht="15.75" customHeight="1" x14ac:dyDescent="0.3">
      <c r="B21" s="602"/>
    </row>
    <row r="22" spans="2:11" ht="15.75" customHeight="1" x14ac:dyDescent="0.3">
      <c r="B22" s="529"/>
      <c r="C22" s="530"/>
      <c r="D22" s="530"/>
      <c r="E22" s="530"/>
      <c r="F22" s="530"/>
      <c r="G22" s="530"/>
    </row>
    <row r="23" spans="2:11" ht="15.75" customHeight="1" x14ac:dyDescent="0.3">
      <c r="B23" s="602"/>
    </row>
    <row r="24" spans="2:11" ht="15.75" customHeight="1" x14ac:dyDescent="0.3">
      <c r="B24" s="602"/>
    </row>
    <row r="25" spans="2:11" ht="15.75" customHeight="1" x14ac:dyDescent="0.3">
      <c r="B25" s="602"/>
    </row>
    <row r="26" spans="2:11" ht="15.75" customHeight="1" x14ac:dyDescent="0.3">
      <c r="B26" s="602"/>
    </row>
    <row r="27" spans="2:11" ht="15.75" customHeight="1" x14ac:dyDescent="0.3">
      <c r="B27" s="602"/>
    </row>
    <row r="28" spans="2:11" ht="15.75" customHeight="1" x14ac:dyDescent="0.3"/>
    <row r="29" spans="2:11" ht="15.75" customHeight="1" x14ac:dyDescent="0.3"/>
    <row r="30" spans="2:11" ht="15.75" customHeight="1" x14ac:dyDescent="0.3"/>
    <row r="31" spans="2:11" ht="15.75" customHeight="1" x14ac:dyDescent="0.3"/>
    <row r="32" spans="2: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onditionalFormatting sqref="D6:J12">
    <cfRule type="cellIs" dxfId="2" priority="2" operator="greaterThan">
      <formula>2571.55</formula>
    </cfRule>
    <cfRule type="cellIs" dxfId="1" priority="3" operator="between">
      <formula>2185.8175</formula>
      <formula>2571.55</formula>
    </cfRule>
    <cfRule type="cellIs" dxfId="0" priority="4" operator="lessThan">
      <formula>2185.8175</formula>
    </cfRule>
  </conditionalFormatting>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sheetPr>
  <dimension ref="A1:M1000"/>
  <sheetViews>
    <sheetView showGridLines="0" zoomScaleNormal="100" workbookViewId="0">
      <selection activeCell="E30" sqref="E30"/>
    </sheetView>
  </sheetViews>
  <sheetFormatPr defaultColWidth="12.6640625" defaultRowHeight="14.4" x14ac:dyDescent="0.3"/>
  <cols>
    <col min="1" max="1" width="3" customWidth="1"/>
    <col min="2" max="2" width="82.44140625" style="680" customWidth="1"/>
    <col min="3" max="3" width="21.21875" bestFit="1" customWidth="1"/>
    <col min="4" max="4" width="11.5546875" bestFit="1" customWidth="1"/>
    <col min="5" max="5" width="21.109375" bestFit="1" customWidth="1"/>
    <col min="6" max="6" width="10.6640625" bestFit="1" customWidth="1"/>
    <col min="7" max="7" width="88" bestFit="1" customWidth="1"/>
    <col min="8" max="13" width="3" style="689" customWidth="1"/>
    <col min="14" max="26" width="3" customWidth="1"/>
  </cols>
  <sheetData>
    <row r="1" spans="1:12" ht="21.75" customHeight="1" x14ac:dyDescent="0.3">
      <c r="B1" s="667" t="s">
        <v>1061</v>
      </c>
      <c r="C1" s="2"/>
      <c r="D1" s="2"/>
      <c r="E1" s="2"/>
      <c r="F1" s="2"/>
      <c r="G1" s="2"/>
    </row>
    <row r="2" spans="1:12" ht="16.5" customHeight="1" x14ac:dyDescent="0.3">
      <c r="B2" s="581" t="s">
        <v>1062</v>
      </c>
      <c r="C2" s="494" t="s">
        <v>1063</v>
      </c>
      <c r="D2" s="494" t="s">
        <v>1064</v>
      </c>
      <c r="E2" s="494" t="s">
        <v>1065</v>
      </c>
      <c r="F2" s="494" t="s">
        <v>996</v>
      </c>
      <c r="G2" s="494" t="s">
        <v>1066</v>
      </c>
    </row>
    <row r="3" spans="1:12" ht="15.75" customHeight="1" x14ac:dyDescent="0.3"/>
    <row r="4" spans="1:12" ht="16.5" customHeight="1" x14ac:dyDescent="0.3">
      <c r="B4" s="606" t="s">
        <v>1067</v>
      </c>
      <c r="C4" s="542"/>
      <c r="D4" s="607"/>
      <c r="E4" s="607"/>
      <c r="F4" s="607"/>
      <c r="G4" s="542"/>
      <c r="H4" s="693"/>
      <c r="I4" s="693"/>
      <c r="J4" s="690"/>
      <c r="K4" s="690"/>
      <c r="L4" s="690"/>
    </row>
    <row r="5" spans="1:12" ht="18" customHeight="1" x14ac:dyDescent="0.3">
      <c r="B5" s="669" t="s">
        <v>1068</v>
      </c>
      <c r="C5" s="520">
        <f>DCF!K59</f>
        <v>1139.8389648041336</v>
      </c>
      <c r="D5" s="608">
        <v>0.32</v>
      </c>
      <c r="E5" s="520">
        <f>C5*D5</f>
        <v>364.74846873732275</v>
      </c>
      <c r="F5" s="485">
        <f>C5/2571.55-1</f>
        <v>-0.55675022270454255</v>
      </c>
      <c r="G5" s="7" t="s">
        <v>1069</v>
      </c>
    </row>
    <row r="6" spans="1:12" ht="18" customHeight="1" x14ac:dyDescent="0.3">
      <c r="A6" s="475"/>
      <c r="B6" s="676" t="s">
        <v>1070</v>
      </c>
      <c r="C6" s="568">
        <f>DCF!K60</f>
        <v>2168.5779338694301</v>
      </c>
      <c r="D6" s="609">
        <v>0.32</v>
      </c>
      <c r="E6" s="568">
        <f>C6*D6</f>
        <v>693.94493883821769</v>
      </c>
      <c r="F6" s="610">
        <f>C6/2571.55-1</f>
        <v>-0.15670395914159552</v>
      </c>
      <c r="G6" s="611" t="s">
        <v>1071</v>
      </c>
      <c r="H6" s="694"/>
      <c r="I6" s="694"/>
      <c r="J6" s="694"/>
    </row>
    <row r="7" spans="1:12" ht="18" customHeight="1" x14ac:dyDescent="0.3">
      <c r="B7" s="669" t="s">
        <v>1072</v>
      </c>
      <c r="C7" s="520">
        <f>CCA!F35</f>
        <v>2895.9942436658021</v>
      </c>
      <c r="D7" s="608">
        <v>0.32</v>
      </c>
      <c r="E7" s="520">
        <f>C7*D7</f>
        <v>926.71815797305669</v>
      </c>
      <c r="F7" s="485">
        <f>C7/2571.55-1</f>
        <v>0.12616680354875531</v>
      </c>
      <c r="G7" s="7" t="s">
        <v>1073</v>
      </c>
    </row>
    <row r="8" spans="1:12" ht="18" customHeight="1" x14ac:dyDescent="0.3">
      <c r="B8" s="669" t="s">
        <v>1074</v>
      </c>
      <c r="C8" s="520">
        <f>AVERAGE(DDM!D30,DDM!E30)</f>
        <v>196.85730007207292</v>
      </c>
      <c r="D8" s="608">
        <v>0.04</v>
      </c>
      <c r="E8" s="520">
        <f>C8*D8</f>
        <v>7.8742920028829166</v>
      </c>
      <c r="F8" s="485">
        <f>C8/2571.55-1</f>
        <v>-0.9234479982609427</v>
      </c>
      <c r="G8" s="7" t="s">
        <v>1075</v>
      </c>
    </row>
    <row r="9" spans="1:12" ht="15.75" customHeight="1" x14ac:dyDescent="0.3">
      <c r="B9" s="612"/>
      <c r="C9" s="593"/>
    </row>
    <row r="10" spans="1:12" ht="15.75" customHeight="1" x14ac:dyDescent="0.3">
      <c r="B10" s="674" t="s">
        <v>1076</v>
      </c>
      <c r="C10" s="613">
        <f>SUM(E5:E8)</f>
        <v>1993.2858575514799</v>
      </c>
      <c r="D10" s="614">
        <f>SUM(D5:D8)</f>
        <v>1</v>
      </c>
      <c r="E10" s="507"/>
      <c r="F10" s="518">
        <f>C10/2571.55-1</f>
        <v>-0.22486988098560023</v>
      </c>
      <c r="G10" s="615" t="s">
        <v>1077</v>
      </c>
      <c r="H10" s="690"/>
      <c r="I10" s="690"/>
      <c r="J10" s="690"/>
      <c r="K10" s="690"/>
      <c r="L10" s="690"/>
    </row>
    <row r="11" spans="1:12" ht="15.75" customHeight="1" x14ac:dyDescent="0.3">
      <c r="B11" s="672" t="s">
        <v>1078</v>
      </c>
      <c r="C11" s="539">
        <v>2571.5500000000002</v>
      </c>
      <c r="G11" s="7" t="s">
        <v>1079</v>
      </c>
    </row>
    <row r="12" spans="1:12" ht="15.75" customHeight="1" x14ac:dyDescent="0.3">
      <c r="A12" s="475"/>
      <c r="B12" s="670"/>
      <c r="C12" s="475"/>
      <c r="D12" s="475"/>
      <c r="E12" s="475"/>
      <c r="F12" s="475"/>
      <c r="G12" s="475"/>
      <c r="H12" s="694"/>
      <c r="I12" s="694"/>
      <c r="J12" s="694"/>
    </row>
    <row r="13" spans="1:12" ht="16.5" customHeight="1" x14ac:dyDescent="0.3">
      <c r="B13" s="594" t="s">
        <v>1080</v>
      </c>
      <c r="C13" s="616"/>
      <c r="D13" s="477"/>
      <c r="E13" s="477"/>
      <c r="F13" s="477"/>
      <c r="G13" s="477"/>
      <c r="H13" s="690"/>
      <c r="I13" s="690"/>
      <c r="J13" s="690"/>
      <c r="K13" s="690"/>
      <c r="L13" s="690"/>
    </row>
    <row r="14" spans="1:12" ht="18" customHeight="1" x14ac:dyDescent="0.3">
      <c r="B14" s="669" t="s">
        <v>1081</v>
      </c>
      <c r="C14" s="520">
        <f>DCF!K59</f>
        <v>1139.8389648041336</v>
      </c>
      <c r="F14" s="485">
        <f>C14/2571.55-1</f>
        <v>-0.55675022270454255</v>
      </c>
      <c r="G14" s="7" t="s">
        <v>1082</v>
      </c>
    </row>
    <row r="15" spans="1:12" ht="18" customHeight="1" x14ac:dyDescent="0.3">
      <c r="B15" s="669" t="s">
        <v>1083</v>
      </c>
      <c r="C15" s="520">
        <f>C10</f>
        <v>1993.2858575514799</v>
      </c>
      <c r="F15" s="485">
        <f>C15/2571.55-1</f>
        <v>-0.22486988098560023</v>
      </c>
      <c r="G15" s="7" t="s">
        <v>1084</v>
      </c>
    </row>
    <row r="16" spans="1:12" ht="18" customHeight="1" x14ac:dyDescent="0.3">
      <c r="B16" s="669" t="s">
        <v>1085</v>
      </c>
      <c r="C16" s="520">
        <f>CCA!F35</f>
        <v>2895.9942436658021</v>
      </c>
      <c r="F16" s="485">
        <f>C16/2571.55-1</f>
        <v>0.12616680354875531</v>
      </c>
      <c r="G16" s="7" t="s">
        <v>1086</v>
      </c>
    </row>
    <row r="17" spans="1:12" ht="15.75" customHeight="1" x14ac:dyDescent="0.3"/>
    <row r="18" spans="1:12" ht="16.5" customHeight="1" x14ac:dyDescent="0.3">
      <c r="A18" s="475"/>
      <c r="B18" s="671" t="s">
        <v>1087</v>
      </c>
      <c r="C18" s="477"/>
      <c r="D18" s="477"/>
      <c r="E18" s="477"/>
      <c r="F18" s="477"/>
      <c r="G18" s="477"/>
      <c r="H18" s="690"/>
      <c r="I18" s="690"/>
      <c r="J18" s="690"/>
      <c r="K18" s="690"/>
      <c r="L18" s="690"/>
    </row>
    <row r="19" spans="1:12" ht="15.75" customHeight="1" x14ac:dyDescent="0.3">
      <c r="B19" s="672" t="s">
        <v>1088</v>
      </c>
      <c r="C19" s="520">
        <f>C10</f>
        <v>1993.2858575514799</v>
      </c>
    </row>
    <row r="20" spans="1:12" ht="15.75" customHeight="1" x14ac:dyDescent="0.3">
      <c r="B20" s="672" t="s">
        <v>1089</v>
      </c>
      <c r="C20" s="539">
        <v>2571.5500000000002</v>
      </c>
    </row>
    <row r="21" spans="1:12" ht="15.75" customHeight="1" x14ac:dyDescent="0.3">
      <c r="A21" s="475"/>
      <c r="B21" s="691" t="s">
        <v>1090</v>
      </c>
      <c r="C21" s="617">
        <f>C10/2571.55-1</f>
        <v>-0.22486988098560023</v>
      </c>
      <c r="D21" s="475"/>
      <c r="E21" s="475"/>
      <c r="F21" s="475"/>
      <c r="G21" s="475"/>
      <c r="H21" s="694"/>
      <c r="I21" s="694"/>
      <c r="J21" s="694"/>
    </row>
    <row r="22" spans="1:12" ht="15.75" customHeight="1" x14ac:dyDescent="0.3">
      <c r="B22" s="669" t="s">
        <v>1091</v>
      </c>
      <c r="C22" s="618" t="str">
        <f>IF(C10/2571.55-1&gt;0.15,"BUY",IF(C10/2571.55-1&gt;-0.15,"HOLD","SELL"))</f>
        <v>SELL</v>
      </c>
      <c r="G22" s="619" t="s">
        <v>1092</v>
      </c>
    </row>
    <row r="23" spans="1:12" ht="15.75" customHeight="1" x14ac:dyDescent="0.3">
      <c r="B23" s="669" t="s">
        <v>1093</v>
      </c>
      <c r="C23" s="520">
        <f>C10</f>
        <v>1993.2858575514799</v>
      </c>
      <c r="G23" s="7" t="s">
        <v>1094</v>
      </c>
    </row>
    <row r="24" spans="1:12" ht="15.75" customHeight="1" x14ac:dyDescent="0.3">
      <c r="B24" s="678"/>
    </row>
    <row r="25" spans="1:12" ht="16.5" customHeight="1" x14ac:dyDescent="0.3">
      <c r="B25" s="671" t="s">
        <v>1095</v>
      </c>
      <c r="C25" s="477"/>
      <c r="D25" s="477"/>
      <c r="E25" s="477"/>
      <c r="F25" s="477"/>
      <c r="G25" s="477"/>
      <c r="H25" s="690"/>
      <c r="I25" s="690"/>
      <c r="J25" s="690"/>
      <c r="K25" s="690"/>
      <c r="L25" s="690"/>
    </row>
    <row r="26" spans="1:12" ht="18" customHeight="1" x14ac:dyDescent="0.3">
      <c r="A26" s="475"/>
      <c r="B26" s="692" t="s">
        <v>1096</v>
      </c>
      <c r="C26" s="475"/>
      <c r="D26" s="475"/>
      <c r="E26" s="475"/>
      <c r="F26" s="475"/>
      <c r="G26" s="475"/>
      <c r="H26" s="694"/>
      <c r="I26" s="694"/>
      <c r="J26" s="694"/>
    </row>
    <row r="27" spans="1:12" ht="75" customHeight="1" x14ac:dyDescent="0.3">
      <c r="B27" s="528" t="s">
        <v>1097</v>
      </c>
    </row>
    <row r="28" spans="1:12" ht="15.75" customHeight="1" x14ac:dyDescent="0.3">
      <c r="B28" s="677"/>
    </row>
    <row r="29" spans="1:12" ht="18" customHeight="1" x14ac:dyDescent="0.3">
      <c r="B29" s="681" t="s">
        <v>1098</v>
      </c>
    </row>
    <row r="30" spans="1:12" ht="75" customHeight="1" x14ac:dyDescent="0.3">
      <c r="B30" s="528" t="s">
        <v>1099</v>
      </c>
    </row>
    <row r="31" spans="1:12" ht="15.75" customHeight="1" x14ac:dyDescent="0.3">
      <c r="B31" s="678"/>
    </row>
    <row r="32" spans="1:12" ht="18" customHeight="1" x14ac:dyDescent="0.3">
      <c r="B32" s="681" t="s">
        <v>1100</v>
      </c>
    </row>
    <row r="33" spans="2:2" ht="75" customHeight="1" x14ac:dyDescent="0.3">
      <c r="B33" s="528" t="s">
        <v>1101</v>
      </c>
    </row>
    <row r="34" spans="2:2" ht="15.75" customHeight="1" x14ac:dyDescent="0.3"/>
    <row r="35" spans="2:2" ht="18" customHeight="1" x14ac:dyDescent="0.3">
      <c r="B35" s="681" t="s">
        <v>1102</v>
      </c>
    </row>
    <row r="36" spans="2:2" ht="75" customHeight="1" x14ac:dyDescent="0.3">
      <c r="B36" s="528" t="s">
        <v>1103</v>
      </c>
    </row>
    <row r="37" spans="2:2" ht="15.75" customHeight="1" x14ac:dyDescent="0.3"/>
    <row r="38" spans="2:2" ht="18" customHeight="1" x14ac:dyDescent="0.3">
      <c r="B38" s="681" t="s">
        <v>1104</v>
      </c>
    </row>
    <row r="39" spans="2:2" ht="75" customHeight="1" x14ac:dyDescent="0.3">
      <c r="B39" s="528" t="s">
        <v>1105</v>
      </c>
    </row>
    <row r="40" spans="2:2" ht="15.75" customHeight="1" x14ac:dyDescent="0.3"/>
    <row r="41" spans="2:2" ht="15.75" customHeight="1" x14ac:dyDescent="0.3"/>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AD47"/>
  </sheetPr>
  <dimension ref="A1:M1000"/>
  <sheetViews>
    <sheetView showGridLines="0" tabSelected="1" zoomScaleNormal="100" workbookViewId="0">
      <selection activeCell="Y13" sqref="Y13"/>
    </sheetView>
  </sheetViews>
  <sheetFormatPr defaultColWidth="12.6640625" defaultRowHeight="14.4" x14ac:dyDescent="0.3"/>
  <cols>
    <col min="1" max="1" width="3" customWidth="1"/>
    <col min="2" max="2" width="70.44140625" bestFit="1" customWidth="1"/>
    <col min="3" max="7" width="10.109375" bestFit="1" customWidth="1"/>
    <col min="8" max="12" width="11.88671875" bestFit="1" customWidth="1"/>
    <col min="13" max="26" width="3" customWidth="1"/>
  </cols>
  <sheetData>
    <row r="1" spans="1:13" ht="21.75" customHeight="1" x14ac:dyDescent="0.3">
      <c r="B1" s="620" t="s">
        <v>1106</v>
      </c>
      <c r="C1" s="621"/>
      <c r="D1" s="622"/>
      <c r="E1" s="622"/>
      <c r="F1" s="622"/>
      <c r="G1" s="623"/>
      <c r="H1" s="624"/>
      <c r="I1" s="625"/>
      <c r="J1" s="625"/>
      <c r="K1" s="625"/>
      <c r="L1" s="626"/>
      <c r="M1" s="2"/>
    </row>
    <row r="2" spans="1:13" ht="16.5" customHeight="1" x14ac:dyDescent="0.3">
      <c r="B2" s="627" t="s">
        <v>1107</v>
      </c>
      <c r="C2" s="628" t="s">
        <v>98</v>
      </c>
      <c r="D2" s="629" t="s">
        <v>98</v>
      </c>
      <c r="E2" s="629" t="s">
        <v>98</v>
      </c>
      <c r="F2" s="629" t="s">
        <v>98</v>
      </c>
      <c r="G2" s="630" t="s">
        <v>98</v>
      </c>
      <c r="H2" s="631" t="s">
        <v>99</v>
      </c>
      <c r="I2" s="632" t="s">
        <v>99</v>
      </c>
      <c r="J2" s="632" t="s">
        <v>99</v>
      </c>
      <c r="K2" s="632" t="s">
        <v>99</v>
      </c>
      <c r="L2" s="633" t="s">
        <v>99</v>
      </c>
    </row>
    <row r="3" spans="1:13" ht="16.5" customHeight="1" x14ac:dyDescent="0.3">
      <c r="A3" s="475"/>
      <c r="B3" s="634" t="s">
        <v>100</v>
      </c>
      <c r="C3" s="403">
        <v>44286</v>
      </c>
      <c r="D3" s="404">
        <v>44651</v>
      </c>
      <c r="E3" s="404">
        <v>45016</v>
      </c>
      <c r="F3" s="404">
        <v>45382</v>
      </c>
      <c r="G3" s="405">
        <v>45747</v>
      </c>
      <c r="H3" s="403">
        <v>46112</v>
      </c>
      <c r="I3" s="404">
        <v>46477</v>
      </c>
      <c r="J3" s="404">
        <v>46843</v>
      </c>
      <c r="K3" s="404">
        <v>47208</v>
      </c>
      <c r="L3" s="405">
        <v>47573</v>
      </c>
      <c r="M3" s="475"/>
    </row>
    <row r="4" spans="1:13" ht="15.75" customHeight="1" x14ac:dyDescent="0.3">
      <c r="B4" s="635"/>
      <c r="C4" s="636"/>
      <c r="D4" s="411"/>
      <c r="E4" s="411"/>
      <c r="F4" s="411"/>
      <c r="G4" s="637"/>
      <c r="H4" s="636"/>
      <c r="I4" s="411"/>
      <c r="J4" s="411"/>
      <c r="K4" s="411"/>
      <c r="L4" s="637"/>
    </row>
    <row r="5" spans="1:13" ht="16.5" customHeight="1" x14ac:dyDescent="0.3">
      <c r="B5" s="503" t="s">
        <v>1108</v>
      </c>
      <c r="C5" s="477"/>
      <c r="D5" s="477"/>
      <c r="E5" s="477"/>
      <c r="F5" s="477"/>
      <c r="G5" s="477"/>
      <c r="H5" s="477"/>
      <c r="I5" s="477"/>
      <c r="J5" s="477"/>
      <c r="K5" s="477"/>
      <c r="L5" s="477"/>
    </row>
    <row r="6" spans="1:13" ht="15.75" customHeight="1" x14ac:dyDescent="0.3">
      <c r="B6" s="638" t="s">
        <v>1109</v>
      </c>
      <c r="C6" s="639"/>
      <c r="D6" s="569">
        <f>'INCOME STATEMENT'!D9/'INCOME STATEMENT'!C9-1</f>
        <v>0.41638709231141724</v>
      </c>
      <c r="E6" s="569">
        <f>'INCOME STATEMENT'!E9/'INCOME STATEMENT'!D9-1</f>
        <v>0.3652185136605921</v>
      </c>
      <c r="F6" s="569">
        <f>'INCOME STATEMENT'!F9/'INCOME STATEMENT'!E9-1</f>
        <v>0.20944963575642817</v>
      </c>
      <c r="G6" s="640">
        <f>'INCOME STATEMENT'!G9/'INCOME STATEMENT'!F9-1</f>
        <v>0.20760401327617806</v>
      </c>
      <c r="H6" s="641">
        <f>'INCOME STATEMENT'!H9/'INCOME STATEMENT'!G9-1</f>
        <v>0.10958946645593559</v>
      </c>
      <c r="I6" s="569">
        <f>'INCOME STATEMENT'!I9/'INCOME STATEMENT'!H9-1</f>
        <v>7.2794871425613028E-2</v>
      </c>
      <c r="J6" s="569">
        <f>'INCOME STATEMENT'!J9/'INCOME STATEMENT'!I9-1</f>
        <v>8.3963118505487877E-2</v>
      </c>
      <c r="K6" s="569">
        <f>'INCOME STATEMENT'!K9/'INCOME STATEMENT'!J9-1</f>
        <v>0.13158208642269975</v>
      </c>
      <c r="L6" s="640">
        <f>'INCOME STATEMENT'!L9/'INCOME STATEMENT'!K9-1</f>
        <v>0.14954755911801154</v>
      </c>
    </row>
    <row r="7" spans="1:13" ht="15.75" customHeight="1" x14ac:dyDescent="0.3">
      <c r="B7" s="634" t="s">
        <v>1110</v>
      </c>
      <c r="C7" s="642">
        <f>'INCOME STATEMENT'!C29</f>
        <v>223.86999999999944</v>
      </c>
      <c r="D7" s="511">
        <f>'INCOME STATEMENT'!D29</f>
        <v>434.70000000000073</v>
      </c>
      <c r="E7" s="511">
        <f>'INCOME STATEMENT'!E29</f>
        <v>797.79999999999927</v>
      </c>
      <c r="F7" s="511">
        <f>'INCOME STATEMENT'!F29</f>
        <v>1411.6099999999997</v>
      </c>
      <c r="G7" s="643">
        <f>'INCOME STATEMENT'!G29</f>
        <v>2060.0200000000004</v>
      </c>
      <c r="H7" s="642">
        <f>'INCOME STATEMENT'!H29</f>
        <v>1817.3299012961488</v>
      </c>
      <c r="I7" s="511">
        <f>'INCOME STATEMENT'!I29</f>
        <v>2442.4462819666678</v>
      </c>
      <c r="J7" s="511">
        <f>'INCOME STATEMENT'!J29</f>
        <v>2729.2047938968135</v>
      </c>
      <c r="K7" s="511">
        <f>'INCOME STATEMENT'!K29</f>
        <v>2892.1519159503259</v>
      </c>
      <c r="L7" s="643">
        <f>'INCOME STATEMENT'!L29</f>
        <v>3448.9911349506019</v>
      </c>
    </row>
    <row r="8" spans="1:13" ht="15.75" customHeight="1" x14ac:dyDescent="0.3">
      <c r="B8" s="634" t="s">
        <v>255</v>
      </c>
      <c r="C8" s="644">
        <f>'INCOME STATEMENT'!C29/'INCOME STATEMENT'!C9</f>
        <v>5.5306313027753073E-2</v>
      </c>
      <c r="D8" s="645">
        <f>'INCOME STATEMENT'!D29/'INCOME STATEMENT'!D9</f>
        <v>7.582047274858382E-2</v>
      </c>
      <c r="E8" s="645">
        <f>'INCOME STATEMENT'!E29/'INCOME STATEMENT'!E9</f>
        <v>0.10192687532419073</v>
      </c>
      <c r="F8" s="645">
        <f>'INCOME STATEMENT'!F29/'INCOME STATEMENT'!F9</f>
        <v>0.14911509753258301</v>
      </c>
      <c r="G8" s="646">
        <f>'INCOME STATEMENT'!G29/'INCOME STATEMENT'!G9</f>
        <v>0.18019958222094706</v>
      </c>
      <c r="H8" s="644">
        <f>'INCOME STATEMENT'!H29/'INCOME STATEMENT'!H9</f>
        <v>0.14326951476607966</v>
      </c>
      <c r="I8" s="645">
        <f>'INCOME STATEMENT'!I29/'INCOME STATEMENT'!I9</f>
        <v>0.17948507872686315</v>
      </c>
      <c r="J8" s="645">
        <f>'INCOME STATEMENT'!J29/'INCOME STATEMENT'!J9</f>
        <v>0.1850226721113398</v>
      </c>
      <c r="K8" s="645">
        <f>'INCOME STATEMENT'!K29/'INCOME STATEMENT'!K9</f>
        <v>0.17327019374144173</v>
      </c>
      <c r="L8" s="646">
        <f>'INCOME STATEMENT'!L29/'INCOME STATEMENT'!L9</f>
        <v>0.17974958404998326</v>
      </c>
    </row>
    <row r="9" spans="1:13" ht="15.75" customHeight="1" x14ac:dyDescent="0.3">
      <c r="B9" s="638" t="s">
        <v>256</v>
      </c>
      <c r="C9" s="641">
        <f>'INCOME STATEMENT'!C36/'INCOME STATEMENT'!C9</f>
        <v>4.0569985819527407E-2</v>
      </c>
      <c r="D9" s="569">
        <f>'INCOME STATEMENT'!D36/'INCOME STATEMENT'!D9</f>
        <v>6.2824421622526841E-2</v>
      </c>
      <c r="E9" s="569">
        <f>'INCOME STATEMENT'!E36/'INCOME STATEMENT'!E9</f>
        <v>9.227077951446104E-2</v>
      </c>
      <c r="F9" s="569">
        <f>'INCOME STATEMENT'!F36/'INCOME STATEMENT'!F9</f>
        <v>0.14033367911114675</v>
      </c>
      <c r="G9" s="640">
        <f>'INCOME STATEMENT'!G36/'INCOME STATEMENT'!G9</f>
        <v>0.17012337428314506</v>
      </c>
      <c r="H9" s="641">
        <f>'INCOME STATEMENT'!H36/'INCOME STATEMENT'!H9</f>
        <v>0.1353234279115299</v>
      </c>
      <c r="I9" s="569">
        <f>'INCOME STATEMENT'!I36/'INCOME STATEMENT'!I9</f>
        <v>0.17173430654790733</v>
      </c>
      <c r="J9" s="569">
        <f>'INCOME STATEMENT'!J36/'INCOME STATEMENT'!J9</f>
        <v>0.17754806146618485</v>
      </c>
      <c r="K9" s="569">
        <f>'INCOME STATEMENT'!K36/'INCOME STATEMENT'!K9</f>
        <v>0.16677595020487704</v>
      </c>
      <c r="L9" s="640">
        <f>'INCOME STATEMENT'!L36/'INCOME STATEMENT'!L9</f>
        <v>0.17400253153525305</v>
      </c>
    </row>
    <row r="10" spans="1:13" ht="15.75" customHeight="1" x14ac:dyDescent="0.3">
      <c r="B10" s="638" t="s">
        <v>1111</v>
      </c>
      <c r="C10" s="641">
        <f>'INCOME STATEMENT'!C53/'INCOME STATEMENT'!C9</f>
        <v>0.1556195680637972</v>
      </c>
      <c r="D10" s="569">
        <f>'INCOME STATEMENT'!D53/'INCOME STATEMENT'!D9</f>
        <v>0.13477276532804969</v>
      </c>
      <c r="E10" s="569">
        <f>'INCOME STATEMENT'!E53/'INCOME STATEMENT'!E9</f>
        <v>0.18261110642658013</v>
      </c>
      <c r="F10" s="569">
        <f>'INCOME STATEMENT'!F53/'INCOME STATEMENT'!F9</f>
        <v>0.26000730992607674</v>
      </c>
      <c r="G10" s="640">
        <f>'INCOME STATEMENT'!G53/'INCOME STATEMENT'!G9</f>
        <v>0.27197626287189858</v>
      </c>
      <c r="H10" s="641">
        <f>'INCOME STATEMENT'!H53/'INCOME STATEMENT'!H9</f>
        <v>0.21210503647865889</v>
      </c>
      <c r="I10" s="569">
        <f>'INCOME STATEMENT'!I53/'INCOME STATEMENT'!I9</f>
        <v>0.24135528437637632</v>
      </c>
      <c r="J10" s="569">
        <f>'INCOME STATEMENT'!J53/'INCOME STATEMENT'!J9</f>
        <v>0.2899921407640389</v>
      </c>
      <c r="K10" s="569">
        <f>'INCOME STATEMENT'!K53/'INCOME STATEMENT'!K9</f>
        <v>0.31468542162600432</v>
      </c>
      <c r="L10" s="640">
        <f>'INCOME STATEMENT'!L53/'INCOME STATEMENT'!L9</f>
        <v>0.33775254084772532</v>
      </c>
    </row>
    <row r="11" spans="1:13" ht="15.75" customHeight="1" x14ac:dyDescent="0.3">
      <c r="B11" s="638" t="s">
        <v>1112</v>
      </c>
      <c r="C11" s="641">
        <f>'INCOME STATEMENT'!C63/'INCOME STATEMENT'!C9</f>
        <v>0.12694734449654368</v>
      </c>
      <c r="D11" s="569">
        <f>'INCOME STATEMENT'!D63/'INCOME STATEMENT'!D9</f>
        <v>0.10654285156140998</v>
      </c>
      <c r="E11" s="569">
        <f>'INCOME STATEMENT'!E63/'INCOME STATEMENT'!E9</f>
        <v>0.14296719891455151</v>
      </c>
      <c r="F11" s="569">
        <f>'INCOME STATEMENT'!F63/'INCOME STATEMENT'!F9</f>
        <v>0.20461138024503037</v>
      </c>
      <c r="G11" s="640">
        <f>'INCOME STATEMENT'!G63/'INCOME STATEMENT'!G9</f>
        <v>0.21112100546891674</v>
      </c>
      <c r="H11" s="641">
        <f>'INCOME STATEMENT'!H63/'INCOME STATEMENT'!H9</f>
        <v>0.15893750614283914</v>
      </c>
      <c r="I11" s="569">
        <f>'INCOME STATEMENT'!I63/'INCOME STATEMENT'!I9</f>
        <v>0.18076145885336331</v>
      </c>
      <c r="J11" s="569">
        <f>'INCOME STATEMENT'!J63/'INCOME STATEMENT'!J9</f>
        <v>0.21710934291159123</v>
      </c>
      <c r="K11" s="569">
        <f>'INCOME STATEMENT'!K63/'INCOME STATEMENT'!K9</f>
        <v>0.23569419902966374</v>
      </c>
      <c r="L11" s="640">
        <f>'INCOME STATEMENT'!L63/'INCOME STATEMENT'!L9</f>
        <v>0.25293163942422969</v>
      </c>
    </row>
    <row r="12" spans="1:13" ht="15.75" customHeight="1" x14ac:dyDescent="0.3">
      <c r="B12" s="638" t="s">
        <v>1113</v>
      </c>
      <c r="C12" s="639"/>
      <c r="D12" s="569">
        <f>'INCOME STATEMENT'!D63/(('BALANCE SHEET'!D45+'BALANCE SHEET'!C45)/2)</f>
        <v>0.19576887453088115</v>
      </c>
      <c r="E12" s="569">
        <f>'INCOME STATEMENT'!E63/(('BALANCE SHEET'!E45+'BALANCE SHEET'!D45)/2)</f>
        <v>0.29845097694067929</v>
      </c>
      <c r="F12" s="569">
        <f>'INCOME STATEMENT'!F63/(('BALANCE SHEET'!F45+'BALANCE SHEET'!E45)/2)</f>
        <v>0.39739891508621045</v>
      </c>
      <c r="G12" s="640">
        <f>'INCOME STATEMENT'!G63/(('BALANCE SHEET'!G45+'BALANCE SHEET'!F45)/2)</f>
        <v>0.3785446754582984</v>
      </c>
      <c r="H12" s="641">
        <f>'INCOME STATEMENT'!H63/(('BALANCE SHEET'!H45+'BALANCE SHEET'!G45)/2)</f>
        <v>0.25267552227793616</v>
      </c>
      <c r="I12" s="569">
        <f>'INCOME STATEMENT'!I63/(('BALANCE SHEET'!I45+'BALANCE SHEET'!H45)/2)</f>
        <v>0.25465872089004571</v>
      </c>
      <c r="J12" s="569">
        <f>'INCOME STATEMENT'!J63/(('BALANCE SHEET'!J45+'BALANCE SHEET'!I45)/2)</f>
        <v>0.27380404782834233</v>
      </c>
      <c r="K12" s="569">
        <f>'INCOME STATEMENT'!K63/(('BALANCE SHEET'!K45+'BALANCE SHEET'!J45)/2)</f>
        <v>0.27557086462647384</v>
      </c>
      <c r="L12" s="640">
        <f>'INCOME STATEMENT'!L63/(('BALANCE SHEET'!L45+'BALANCE SHEET'!K45)/2)</f>
        <v>0.27813689799211966</v>
      </c>
    </row>
    <row r="13" spans="1:13" ht="15.75" customHeight="1" x14ac:dyDescent="0.3">
      <c r="B13" s="638" t="s">
        <v>1114</v>
      </c>
      <c r="C13" s="639"/>
      <c r="D13" s="569">
        <f>'INCOME STATEMENT'!D63/(('BALANCE SHEET'!D38+'BALANCE SHEET'!C38)/2)</f>
        <v>2.2682636553861265E-2</v>
      </c>
      <c r="E13" s="569">
        <f>'INCOME STATEMENT'!E63/(('BALANCE SHEET'!E38+'BALANCE SHEET'!D38)/2)</f>
        <v>3.8511274570282972E-2</v>
      </c>
      <c r="F13" s="569">
        <f>'INCOME STATEMENT'!F63/(('BALANCE SHEET'!F38+'BALANCE SHEET'!E38)/2)</f>
        <v>6.7189891042810521E-2</v>
      </c>
      <c r="G13" s="640">
        <f>'INCOME STATEMENT'!G63/(('BALANCE SHEET'!G38+'BALANCE SHEET'!F38)/2)</f>
        <v>8.5095558019698633E-2</v>
      </c>
      <c r="H13" s="641">
        <f>'INCOME STATEMENT'!H63/(('BALANCE SHEET'!H38+'BALANCE SHEET'!G38)/2)</f>
        <v>7.9711556749657714E-2</v>
      </c>
      <c r="I13" s="569">
        <f>'INCOME STATEMENT'!I63/(('BALANCE SHEET'!I38+'BALANCE SHEET'!H38)/2)</f>
        <v>9.3321724420481991E-2</v>
      </c>
      <c r="J13" s="569">
        <f>'INCOME STATEMENT'!J63/(('BALANCE SHEET'!J38+'BALANCE SHEET'!I38)/2)</f>
        <v>8.8004645500872183E-2</v>
      </c>
      <c r="K13" s="569">
        <f>'INCOME STATEMENT'!K63/(('BALANCE SHEET'!K38+'BALANCE SHEET'!J38)/2)</f>
        <v>8.0289160041217E-2</v>
      </c>
      <c r="L13" s="640">
        <f>'INCOME STATEMENT'!L63/(('BALANCE SHEET'!L38+'BALANCE SHEET'!K38)/2)</f>
        <v>8.0388940108437015E-2</v>
      </c>
    </row>
    <row r="14" spans="1:13" ht="15.75" customHeight="1" x14ac:dyDescent="0.3">
      <c r="A14" s="475"/>
      <c r="B14" s="638" t="s">
        <v>1115</v>
      </c>
      <c r="C14" s="639"/>
      <c r="D14" s="569">
        <f>'INCOME STATEMENT'!D36/('BALANCE SHEET'!D38-'BALANCE SHEET'!D72)</f>
        <v>8.893799846909807E-2</v>
      </c>
      <c r="E14" s="569">
        <f>'INCOME STATEMENT'!E36/('BALANCE SHEET'!E38-'BALANCE SHEET'!E72)</f>
        <v>0.15234394775477111</v>
      </c>
      <c r="F14" s="569">
        <f>'INCOME STATEMENT'!F36/('BALANCE SHEET'!F38-'BALANCE SHEET'!F72)</f>
        <v>0.21575725684513769</v>
      </c>
      <c r="G14" s="640">
        <f>'INCOME STATEMENT'!G36/('BALANCE SHEET'!G38-'BALANCE SHEET'!G72)</f>
        <v>0.23934454474411257</v>
      </c>
      <c r="H14" s="641">
        <f>'INCOME STATEMENT'!H36/('BALANCE SHEET'!H38-'BALANCE SHEET'!H72)</f>
        <v>0.17206112309643995</v>
      </c>
      <c r="I14" s="569">
        <f>'INCOME STATEMENT'!I36/('BALANCE SHEET'!I38-'BALANCE SHEET'!I72)</f>
        <v>0.20443759081909785</v>
      </c>
      <c r="J14" s="569">
        <f>'INCOME STATEMENT'!J36/('BALANCE SHEET'!J38-'BALANCE SHEET'!J72)</f>
        <v>0.1921908822304372</v>
      </c>
      <c r="K14" s="569">
        <f>'INCOME STATEMENT'!K36/('BALANCE SHEET'!K38-'BALANCE SHEET'!K72)</f>
        <v>0.17022906380779548</v>
      </c>
      <c r="L14" s="640">
        <f>'INCOME STATEMENT'!L36/('BALANCE SHEET'!L38-'BALANCE SHEET'!L72)</f>
        <v>0.1697201825148332</v>
      </c>
      <c r="M14" s="475"/>
    </row>
    <row r="15" spans="1:13" ht="15.75" customHeight="1" x14ac:dyDescent="0.3">
      <c r="B15" s="635"/>
      <c r="C15" s="636"/>
      <c r="D15" s="411"/>
      <c r="E15" s="411"/>
      <c r="F15" s="411"/>
      <c r="G15" s="637"/>
      <c r="H15" s="636"/>
      <c r="I15" s="411"/>
      <c r="J15" s="411"/>
      <c r="K15" s="411"/>
      <c r="L15" s="637"/>
    </row>
    <row r="16" spans="1:13" ht="16.5" customHeight="1" x14ac:dyDescent="0.3">
      <c r="B16" s="503" t="s">
        <v>1116</v>
      </c>
      <c r="C16" s="477"/>
      <c r="D16" s="477"/>
      <c r="E16" s="477"/>
      <c r="F16" s="477"/>
      <c r="G16" s="477"/>
      <c r="H16" s="477"/>
      <c r="I16" s="477"/>
      <c r="J16" s="477"/>
      <c r="K16" s="477"/>
      <c r="L16" s="477"/>
    </row>
    <row r="17" spans="1:13" ht="15.75" customHeight="1" x14ac:dyDescent="0.3">
      <c r="B17" s="638" t="s">
        <v>1117</v>
      </c>
      <c r="C17" s="647">
        <f>'BALANCE SHEET'!C36/'BALANCE SHEET'!C72</f>
        <v>1.0626225474275086</v>
      </c>
      <c r="D17" s="555">
        <f>'BALANCE SHEET'!D36/'BALANCE SHEET'!D72</f>
        <v>1.0534269061949799</v>
      </c>
      <c r="E17" s="555">
        <f>'BALANCE SHEET'!E36/'BALANCE SHEET'!E72</f>
        <v>1.0805862505359396</v>
      </c>
      <c r="F17" s="555">
        <f>'BALANCE SHEET'!F36/'BALANCE SHEET'!F72</f>
        <v>1.1401254623933355</v>
      </c>
      <c r="G17" s="648">
        <f>'BALANCE SHEET'!G36/'BALANCE SHEET'!G72</f>
        <v>1.2467221206848804</v>
      </c>
      <c r="H17" s="647">
        <f>'BALANCE SHEET'!H36/'BALANCE SHEET'!H72</f>
        <v>1.4901551292431843</v>
      </c>
      <c r="I17" s="555">
        <f>'BALANCE SHEET'!I36/'BALANCE SHEET'!I72</f>
        <v>1.4124871343297867</v>
      </c>
      <c r="J17" s="555">
        <f>'BALANCE SHEET'!J36/'BALANCE SHEET'!J72</f>
        <v>1.3419946279580071</v>
      </c>
      <c r="K17" s="555">
        <f>'BALANCE SHEET'!K36/'BALANCE SHEET'!K72</f>
        <v>1.3288120434130604</v>
      </c>
      <c r="L17" s="648">
        <f>'BALANCE SHEET'!L36/'BALANCE SHEET'!L72</f>
        <v>1.3566650512757752</v>
      </c>
    </row>
    <row r="18" spans="1:13" ht="15.75" customHeight="1" x14ac:dyDescent="0.3">
      <c r="B18" s="638" t="s">
        <v>1118</v>
      </c>
      <c r="C18" s="647">
        <f>('BALANCE SHEET'!C36-'BALANCE SHEET'!C26)/'BALANCE SHEET'!C72</f>
        <v>0.77928158758433075</v>
      </c>
      <c r="D18" s="555">
        <f>('BALANCE SHEET'!D36-'BALANCE SHEET'!D26)/'BALANCE SHEET'!D72</f>
        <v>0.74767252463276201</v>
      </c>
      <c r="E18" s="555">
        <f>('BALANCE SHEET'!E36-'BALANCE SHEET'!E26)/'BALANCE SHEET'!E72</f>
        <v>0.77582627895368039</v>
      </c>
      <c r="F18" s="555">
        <f>('BALANCE SHEET'!F36-'BALANCE SHEET'!F26)/'BALANCE SHEET'!F72</f>
        <v>0.88753082069594569</v>
      </c>
      <c r="G18" s="648">
        <f>('BALANCE SHEET'!G36-'BALANCE SHEET'!G26)/'BALANCE SHEET'!G72</f>
        <v>1.0178428827479959</v>
      </c>
      <c r="H18" s="647">
        <f>('BALANCE SHEET'!H36-'BALANCE SHEET'!H26)/'BALANCE SHEET'!H72</f>
        <v>1.0949729056163295</v>
      </c>
      <c r="I18" s="555">
        <f>('BALANCE SHEET'!I36-'BALANCE SHEET'!I26)/'BALANCE SHEET'!I72</f>
        <v>1.1619410046633514</v>
      </c>
      <c r="J18" s="555">
        <f>('BALANCE SHEET'!J36-'BALANCE SHEET'!J26)/'BALANCE SHEET'!J72</f>
        <v>1.1931581768023998</v>
      </c>
      <c r="K18" s="555">
        <f>('BALANCE SHEET'!K36-'BALANCE SHEET'!K26)/'BALANCE SHEET'!K72</f>
        <v>1.2092564768079679</v>
      </c>
      <c r="L18" s="648">
        <f>('BALANCE SHEET'!L36-'BALANCE SHEET'!L26)/'BALANCE SHEET'!L72</f>
        <v>1.2400153299534091</v>
      </c>
    </row>
    <row r="19" spans="1:13" ht="15.75" customHeight="1" x14ac:dyDescent="0.3">
      <c r="B19" s="638" t="s">
        <v>1119</v>
      </c>
      <c r="C19" s="647">
        <f>('BALANCE SHEET'!C29+'BALANCE SHEET'!C30)/'BALANCE SHEET'!C72</f>
        <v>0.38627719019168283</v>
      </c>
      <c r="D19" s="555">
        <f>('BALANCE SHEET'!D29+'BALANCE SHEET'!D30)/'BALANCE SHEET'!D72</f>
        <v>0.45586472966501673</v>
      </c>
      <c r="E19" s="555">
        <f>('BALANCE SHEET'!E29+'BALANCE SHEET'!E30)/'BALANCE SHEET'!E72</f>
        <v>0.55039364370532551</v>
      </c>
      <c r="F19" s="555">
        <f>('BALANCE SHEET'!F29+'BALANCE SHEET'!F30)/'BALANCE SHEET'!F72</f>
        <v>0.62822404264076726</v>
      </c>
      <c r="G19" s="648">
        <f>('BALANCE SHEET'!G29+'BALANCE SHEET'!G30)/'BALANCE SHEET'!G72</f>
        <v>0.81468927807706504</v>
      </c>
      <c r="H19" s="647">
        <f>('BALANCE SHEET'!H29+'BALANCE SHEET'!H30)/'BALANCE SHEET'!H72</f>
        <v>0.52978251708482149</v>
      </c>
      <c r="I19" s="555">
        <f>('BALANCE SHEET'!I29+'BALANCE SHEET'!I30)/'BALANCE SHEET'!I72</f>
        <v>0.78161406312945236</v>
      </c>
      <c r="J19" s="555">
        <f>('BALANCE SHEET'!J29+'BALANCE SHEET'!J30)/'BALANCE SHEET'!J72</f>
        <v>0.94292091851781856</v>
      </c>
      <c r="K19" s="555">
        <f>('BALANCE SHEET'!K29+'BALANCE SHEET'!K30)/'BALANCE SHEET'!K72</f>
        <v>0.97401623279150662</v>
      </c>
      <c r="L19" s="648">
        <f>('BALANCE SHEET'!L29+'BALANCE SHEET'!L30)/'BALANCE SHEET'!L72</f>
        <v>1.0130781750280036</v>
      </c>
    </row>
    <row r="20" spans="1:13" ht="15.75" customHeight="1" x14ac:dyDescent="0.3">
      <c r="B20" s="638" t="s">
        <v>1120</v>
      </c>
      <c r="C20" s="649">
        <f>'BALANCE SHEET'!C29+'BALANCE SHEET'!C30+'FORECAST SCHEDULES'!C170</f>
        <v>8027.91</v>
      </c>
      <c r="D20" s="567">
        <f>'BALANCE SHEET'!D29+'BALANCE SHEET'!D30+'FORECAST SCHEDULES'!D170</f>
        <v>11480.47</v>
      </c>
      <c r="E20" s="567">
        <f>'BALANCE SHEET'!E29+'BALANCE SHEET'!E30+'FORECAST SCHEDULES'!E170</f>
        <v>24046.42</v>
      </c>
      <c r="F20" s="567">
        <f>'BALANCE SHEET'!F29+'BALANCE SHEET'!F30+'FORECAST SCHEDULES'!F170</f>
        <v>25627.629999999997</v>
      </c>
      <c r="G20" s="650">
        <f>'BALANCE SHEET'!G29+'BALANCE SHEET'!G30+'FORECAST SCHEDULES'!G170</f>
        <v>25140.760000000002</v>
      </c>
      <c r="H20" s="649">
        <f>'BALANCE SHEET'!H29+'BALANCE SHEET'!H30+'FORECAST SCHEDULES'!H170</f>
        <v>17570.856745837413</v>
      </c>
      <c r="I20" s="567">
        <f>'BALANCE SHEET'!I29+'BALANCE SHEET'!I30+'FORECAST SCHEDULES'!I170</f>
        <v>20008.15351999447</v>
      </c>
      <c r="J20" s="567">
        <f>'BALANCE SHEET'!J29+'BALANCE SHEET'!J30+'FORECAST SCHEDULES'!J170</f>
        <v>38597.914246573848</v>
      </c>
      <c r="K20" s="567">
        <f>'BALANCE SHEET'!K29+'BALANCE SHEET'!K30+'FORECAST SCHEDULES'!K170</f>
        <v>58127.147652918153</v>
      </c>
      <c r="L20" s="650">
        <f>'BALANCE SHEET'!L29+'BALANCE SHEET'!L30+'FORECAST SCHEDULES'!L170</f>
        <v>75626.453780639888</v>
      </c>
    </row>
    <row r="21" spans="1:13" ht="15.75" customHeight="1" x14ac:dyDescent="0.3">
      <c r="A21" s="475"/>
      <c r="B21" s="634" t="s">
        <v>1121</v>
      </c>
      <c r="C21" s="642">
        <f>'BALANCE SHEET'!C29+'BALANCE SHEET'!C30+'FORECAST SCHEDULES'!C170-'BALANCE SHEET'!C48-'BALANCE SHEET'!C61</f>
        <v>8027.91</v>
      </c>
      <c r="D21" s="511">
        <f>'BALANCE SHEET'!D29+'BALANCE SHEET'!D30+'FORECAST SCHEDULES'!D170-'BALANCE SHEET'!D48-'BALANCE SHEET'!D61</f>
        <v>11468.83</v>
      </c>
      <c r="E21" s="511">
        <f>'BALANCE SHEET'!E29+'BALANCE SHEET'!E30+'FORECAST SCHEDULES'!E170-'BALANCE SHEET'!E48-'BALANCE SHEET'!E61</f>
        <v>24040.379999999997</v>
      </c>
      <c r="F21" s="511">
        <f>'BALANCE SHEET'!F29+'BALANCE SHEET'!F30+'FORECAST SCHEDULES'!F170-'BALANCE SHEET'!F48-'BALANCE SHEET'!F61</f>
        <v>25611.079999999998</v>
      </c>
      <c r="G21" s="643">
        <f>'BALANCE SHEET'!G29+'BALANCE SHEET'!G30+'FORECAST SCHEDULES'!G170-'BALANCE SHEET'!G48-'BALANCE SHEET'!G61</f>
        <v>25120.430000000004</v>
      </c>
      <c r="H21" s="642">
        <f>'BALANCE SHEET'!H29+'BALANCE SHEET'!H30+'FORECAST SCHEDULES'!H170-'BALANCE SHEET'!H48-'BALANCE SHEET'!H61</f>
        <v>17544.526745837411</v>
      </c>
      <c r="I21" s="511">
        <f>'BALANCE SHEET'!I29+'BALANCE SHEET'!I30+'FORECAST SCHEDULES'!I170-'BALANCE SHEET'!I48-'BALANCE SHEET'!I61</f>
        <v>19975.823519994472</v>
      </c>
      <c r="J21" s="511">
        <f>'BALANCE SHEET'!J29+'BALANCE SHEET'!J30+'FORECAST SCHEDULES'!J170-'BALANCE SHEET'!J48-'BALANCE SHEET'!J61</f>
        <v>38559.584246573846</v>
      </c>
      <c r="K21" s="511">
        <f>'BALANCE SHEET'!K29+'BALANCE SHEET'!K30+'FORECAST SCHEDULES'!K170-'BALANCE SHEET'!K48-'BALANCE SHEET'!K61</f>
        <v>58082.817652918151</v>
      </c>
      <c r="L21" s="643">
        <f>'BALANCE SHEET'!L29+'BALANCE SHEET'!L30+'FORECAST SCHEDULES'!L170-'BALANCE SHEET'!L48-'BALANCE SHEET'!L61</f>
        <v>75576.123780639886</v>
      </c>
      <c r="M21" s="475"/>
    </row>
    <row r="22" spans="1:13" ht="15.75" customHeight="1" x14ac:dyDescent="0.3">
      <c r="B22" s="635"/>
      <c r="C22" s="636"/>
      <c r="D22" s="411"/>
      <c r="E22" s="411"/>
      <c r="F22" s="411"/>
      <c r="G22" s="637"/>
      <c r="H22" s="636"/>
      <c r="I22" s="411"/>
      <c r="J22" s="411"/>
      <c r="K22" s="411"/>
      <c r="L22" s="637"/>
    </row>
    <row r="23" spans="1:13" ht="16.5" customHeight="1" x14ac:dyDescent="0.3">
      <c r="B23" s="503" t="s">
        <v>1122</v>
      </c>
      <c r="C23" s="477"/>
      <c r="D23" s="477"/>
      <c r="E23" s="477"/>
      <c r="F23" s="477"/>
      <c r="G23" s="477"/>
      <c r="H23" s="477"/>
      <c r="I23" s="477"/>
      <c r="J23" s="477"/>
      <c r="K23" s="477"/>
      <c r="L23" s="477"/>
    </row>
    <row r="24" spans="1:13" ht="15.75" customHeight="1" x14ac:dyDescent="0.3">
      <c r="B24" s="638" t="s">
        <v>1123</v>
      </c>
      <c r="C24" s="651"/>
      <c r="D24" s="555">
        <f>'INCOME STATEMENT'!D9/(('BALANCE SHEET'!D38+'BALANCE SHEET'!C38)/2)</f>
        <v>0.21289684123751157</v>
      </c>
      <c r="E24" s="555">
        <f>'INCOME STATEMENT'!E9/(('BALANCE SHEET'!E38+'BALANCE SHEET'!D38)/2)</f>
        <v>0.26937140031190199</v>
      </c>
      <c r="F24" s="555">
        <f>'INCOME STATEMENT'!F9/(('BALANCE SHEET'!F38+'BALANCE SHEET'!E38)/2)</f>
        <v>0.3283780743883743</v>
      </c>
      <c r="G24" s="648">
        <f>'INCOME STATEMENT'!G9/(('BALANCE SHEET'!G38+'BALANCE SHEET'!F38)/2)</f>
        <v>0.40306533132832784</v>
      </c>
      <c r="H24" s="647">
        <f>'INCOME STATEMENT'!H9/(('BALANCE SHEET'!H38+'BALANCE SHEET'!G38)/2)</f>
        <v>0.50152766759797984</v>
      </c>
      <c r="I24" s="555">
        <f>'INCOME STATEMENT'!I9/(('BALANCE SHEET'!I38+'BALANCE SHEET'!H38)/2)</f>
        <v>0.51627003351519818</v>
      </c>
      <c r="J24" s="555">
        <f>'INCOME STATEMENT'!J9/(('BALANCE SHEET'!J38+'BALANCE SHEET'!I38)/2)</f>
        <v>0.40534711367399978</v>
      </c>
      <c r="K24" s="555">
        <f>'INCOME STATEMENT'!K9/(('BALANCE SHEET'!K38+'BALANCE SHEET'!J38)/2)</f>
        <v>0.34064970784924598</v>
      </c>
      <c r="L24" s="648">
        <f>'INCOME STATEMENT'!L9/(('BALANCE SHEET'!L38+'BALANCE SHEET'!K38)/2)</f>
        <v>0.31782872356907726</v>
      </c>
    </row>
    <row r="25" spans="1:13" ht="15.75" customHeight="1" x14ac:dyDescent="0.3">
      <c r="B25" s="638" t="s">
        <v>1124</v>
      </c>
      <c r="C25" s="651"/>
      <c r="D25" s="555">
        <f>'INCOME STATEMENT'!D12/(('BALANCE SHEET'!D26+'BALANCE SHEET'!C26)/2)</f>
        <v>0.45956091490656586</v>
      </c>
      <c r="E25" s="555">
        <f>'INCOME STATEMENT'!E12/(('BALANCE SHEET'!E26+'BALANCE SHEET'!D26)/2)</f>
        <v>0.65098532505897611</v>
      </c>
      <c r="F25" s="555">
        <f>'INCOME STATEMENT'!F12/(('BALANCE SHEET'!F26+'BALANCE SHEET'!E26)/2)</f>
        <v>0.83611076469197565</v>
      </c>
      <c r="G25" s="648">
        <f>'INCOME STATEMENT'!G12/(('BALANCE SHEET'!G26+'BALANCE SHEET'!F26)/2)</f>
        <v>1.1417410942934212</v>
      </c>
      <c r="H25" s="647">
        <f>'INCOME STATEMENT'!H12/(('BALANCE SHEET'!H26+'BALANCE SHEET'!G26)/2)</f>
        <v>1.5375685497010387</v>
      </c>
      <c r="I25" s="555">
        <f>'INCOME STATEMENT'!I12/(('BALANCE SHEET'!I26+'BALANCE SHEET'!H26)/2)</f>
        <v>1.5518462608129677</v>
      </c>
      <c r="J25" s="555">
        <f>'INCOME STATEMENT'!J12/(('BALANCE SHEET'!J26+'BALANCE SHEET'!I26)/2)</f>
        <v>1.7615667177820622</v>
      </c>
      <c r="K25" s="555">
        <f>'INCOME STATEMENT'!K12/(('BALANCE SHEET'!K26+'BALANCE SHEET'!J26)/2)</f>
        <v>2.037938748733485</v>
      </c>
      <c r="L25" s="648">
        <f>'INCOME STATEMENT'!L12/(('BALANCE SHEET'!L26+'BALANCE SHEET'!K26)/2)</f>
        <v>2.0820936502249685</v>
      </c>
    </row>
    <row r="26" spans="1:13" ht="15.75" customHeight="1" x14ac:dyDescent="0.3">
      <c r="B26" s="638" t="s">
        <v>1125</v>
      </c>
      <c r="C26" s="652">
        <f>'BALANCE SHEET'!C26/'INCOME STATEMENT'!C12*365</f>
        <v>943.07882162460999</v>
      </c>
      <c r="D26" s="653">
        <f>'BALANCE SHEET'!D26/'INCOME STATEMENT'!D12*365</f>
        <v>900.11481479109148</v>
      </c>
      <c r="E26" s="653">
        <f>'BALANCE SHEET'!E26/'INCOME STATEMENT'!E12*365</f>
        <v>547.90700948595463</v>
      </c>
      <c r="F26" s="653">
        <f>'BALANCE SHEET'!F26/'INCOME STATEMENT'!F12*365</f>
        <v>381.65254718086118</v>
      </c>
      <c r="G26" s="654">
        <f>'BALANCE SHEET'!G26/'INCOME STATEMENT'!G12*365</f>
        <v>283.00149700598803</v>
      </c>
      <c r="H26" s="652">
        <f>'BALANCE SHEET'!H26/'INCOME STATEMENT'!H12*365</f>
        <v>248.97430130810201</v>
      </c>
      <c r="I26" s="653">
        <f>'BALANCE SHEET'!I26/'INCOME STATEMENT'!I12*365</f>
        <v>227.18190544871499</v>
      </c>
      <c r="J26" s="653">
        <f>'BALANCE SHEET'!J26/'INCOME STATEMENT'!J12*365</f>
        <v>199.24250987944146</v>
      </c>
      <c r="K26" s="653">
        <f>'BALANCE SHEET'!K26/'INCOME STATEMENT'!K12*365</f>
        <v>185.6672451646013</v>
      </c>
      <c r="L26" s="654">
        <f>'BALANCE SHEET'!L26/'INCOME STATEMENT'!L12*365</f>
        <v>187.28216978284181</v>
      </c>
    </row>
    <row r="27" spans="1:13" ht="15.75" customHeight="1" x14ac:dyDescent="0.3">
      <c r="B27" s="638" t="s">
        <v>1126</v>
      </c>
      <c r="C27" s="652">
        <f>('BALANCE SHEET'!C13+'BALANCE SHEET'!C28)/'INCOME STATEMENT'!C9*365</f>
        <v>88.492991289138359</v>
      </c>
      <c r="D27" s="653">
        <f>('BALANCE SHEET'!D13+'BALANCE SHEET'!D28)/'INCOME STATEMENT'!D9*365</f>
        <v>65.136553595847388</v>
      </c>
      <c r="E27" s="653">
        <f>('BALANCE SHEET'!E13+'BALANCE SHEET'!E28)/'INCOME STATEMENT'!E9*365</f>
        <v>47.581344749961033</v>
      </c>
      <c r="F27" s="653">
        <f>('BALANCE SHEET'!F13+'BALANCE SHEET'!F28)/'INCOME STATEMENT'!F9*365</f>
        <v>71.892034927080331</v>
      </c>
      <c r="G27" s="654">
        <f>('BALANCE SHEET'!G13+'BALANCE SHEET'!G28)/'INCOME STATEMENT'!G9*365</f>
        <v>34.640242899680544</v>
      </c>
      <c r="H27" s="652">
        <f>('BALANCE SHEET'!H13+'BALANCE SHEET'!H28)/'INCOME STATEMENT'!H9*365</f>
        <v>51.881387871762144</v>
      </c>
      <c r="I27" s="653">
        <f>('BALANCE SHEET'!I13+'BALANCE SHEET'!I28)/'INCOME STATEMENT'!I9*365</f>
        <v>53.110059573736734</v>
      </c>
      <c r="J27" s="653">
        <f>('BALANCE SHEET'!J13+'BALANCE SHEET'!J28)/'INCOME STATEMENT'!J9*365</f>
        <v>46.654043020754081</v>
      </c>
      <c r="K27" s="653">
        <f>('BALANCE SHEET'!K13+'BALANCE SHEET'!K28)/'INCOME STATEMENT'!K9*365</f>
        <v>50.461387640495651</v>
      </c>
      <c r="L27" s="654">
        <f>('BALANCE SHEET'!L13+'BALANCE SHEET'!L28)/'INCOME STATEMENT'!L9*365</f>
        <v>49.978439769676264</v>
      </c>
    </row>
    <row r="28" spans="1:13" ht="15.75" customHeight="1" x14ac:dyDescent="0.3">
      <c r="B28" s="638" t="s">
        <v>1127</v>
      </c>
      <c r="C28" s="652">
        <f>('BALANCE SHEET'!C49+'BALANCE SHEET'!C50+'BALANCE SHEET'!C62+'BALANCE SHEET'!C63)/'INCOME STATEMENT'!C12*365</f>
        <v>1021.3376070063666</v>
      </c>
      <c r="D28" s="653">
        <f>('BALANCE SHEET'!D49+'BALANCE SHEET'!D50+'BALANCE SHEET'!D62+'BALANCE SHEET'!D63)/'INCOME STATEMENT'!D12*365</f>
        <v>722.81554051024523</v>
      </c>
      <c r="E28" s="653">
        <f>('BALANCE SHEET'!E49+'BALANCE SHEET'!E50+'BALANCE SHEET'!E62+'BALANCE SHEET'!E63)/'INCOME STATEMENT'!E12*365</f>
        <v>333.71128540909581</v>
      </c>
      <c r="F28" s="653">
        <f>('BALANCE SHEET'!F49+'BALANCE SHEET'!F50+'BALANCE SHEET'!F62+'BALANCE SHEET'!F63)/'INCOME STATEMENT'!F12*365</f>
        <v>297.0898852139793</v>
      </c>
      <c r="G28" s="654">
        <f>('BALANCE SHEET'!G49+'BALANCE SHEET'!G50+'BALANCE SHEET'!G62+'BALANCE SHEET'!G63)/'INCOME STATEMENT'!G12*365</f>
        <v>234.28330838323353</v>
      </c>
      <c r="H28" s="652">
        <f>('BALANCE SHEET'!H49+'BALANCE SHEET'!H50+'BALANCE SHEET'!H62+'BALANCE SHEET'!H63)/'INCOME STATEMENT'!H12*365</f>
        <v>190.49453633470108</v>
      </c>
      <c r="I28" s="653">
        <f>('BALANCE SHEET'!I49+'BALANCE SHEET'!I50+'BALANCE SHEET'!I62+'BALANCE SHEET'!I63)/'INCOME STATEMENT'!I12*365</f>
        <v>168.06613109953176</v>
      </c>
      <c r="J28" s="653">
        <f>('BALANCE SHEET'!J49+'BALANCE SHEET'!J50+'BALANCE SHEET'!J62+'BALANCE SHEET'!J63)/'INCOME STATEMENT'!J12*365</f>
        <v>172.89323030857977</v>
      </c>
      <c r="K28" s="653">
        <f>('BALANCE SHEET'!K49+'BALANCE SHEET'!K50+'BALANCE SHEET'!K62+'BALANCE SHEET'!K63)/'INCOME STATEMENT'!K12*365</f>
        <v>176.24077446123016</v>
      </c>
      <c r="L28" s="654">
        <f>('BALANCE SHEET'!L49+'BALANCE SHEET'!L50+'BALANCE SHEET'!L62+'BALANCE SHEET'!L63)/'INCOME STATEMENT'!L12*365</f>
        <v>180.44764556136718</v>
      </c>
    </row>
    <row r="29" spans="1:13" ht="15.75" customHeight="1" x14ac:dyDescent="0.3">
      <c r="B29" s="634" t="s">
        <v>1128</v>
      </c>
      <c r="C29" s="655">
        <f t="shared" ref="C29:L29" si="0">C26+C27-C28</f>
        <v>10.234205907381693</v>
      </c>
      <c r="D29" s="656">
        <f t="shared" si="0"/>
        <v>242.43582787669368</v>
      </c>
      <c r="E29" s="656">
        <f t="shared" si="0"/>
        <v>261.77706882681991</v>
      </c>
      <c r="F29" s="656">
        <f t="shared" si="0"/>
        <v>156.45469689396219</v>
      </c>
      <c r="G29" s="657">
        <f t="shared" si="0"/>
        <v>83.358431522435069</v>
      </c>
      <c r="H29" s="655">
        <f t="shared" si="0"/>
        <v>110.36115284516308</v>
      </c>
      <c r="I29" s="656">
        <f t="shared" si="0"/>
        <v>112.22583392291997</v>
      </c>
      <c r="J29" s="656">
        <f t="shared" si="0"/>
        <v>73.003322591615756</v>
      </c>
      <c r="K29" s="656">
        <f t="shared" si="0"/>
        <v>59.887858343866782</v>
      </c>
      <c r="L29" s="657">
        <f t="shared" si="0"/>
        <v>56.812963991150895</v>
      </c>
    </row>
    <row r="30" spans="1:13" ht="15.75" customHeight="1" x14ac:dyDescent="0.3">
      <c r="A30" s="475"/>
      <c r="B30" s="658"/>
      <c r="C30" s="659"/>
      <c r="D30" s="475"/>
      <c r="E30" s="475"/>
      <c r="F30" s="475"/>
      <c r="G30" s="660"/>
      <c r="H30" s="659"/>
      <c r="I30" s="475"/>
      <c r="J30" s="475"/>
      <c r="K30" s="475"/>
      <c r="L30" s="660"/>
      <c r="M30" s="475"/>
    </row>
    <row r="31" spans="1:13" ht="16.5" customHeight="1" x14ac:dyDescent="0.3">
      <c r="B31" s="503" t="s">
        <v>1129</v>
      </c>
      <c r="C31" s="477"/>
      <c r="D31" s="477"/>
      <c r="E31" s="477"/>
      <c r="F31" s="477"/>
      <c r="G31" s="477"/>
      <c r="H31" s="477"/>
      <c r="I31" s="477"/>
      <c r="J31" s="477"/>
      <c r="K31" s="477"/>
      <c r="L31" s="477"/>
    </row>
    <row r="32" spans="1:13" ht="15.75" customHeight="1" x14ac:dyDescent="0.3">
      <c r="B32" s="638" t="s">
        <v>1130</v>
      </c>
      <c r="C32" s="647">
        <f>('BALANCE SHEET'!C48+'BALANCE SHEET'!C61)/'BALANCE SHEET'!C45</f>
        <v>0</v>
      </c>
      <c r="D32" s="555">
        <f>('BALANCE SHEET'!D48+'BALANCE SHEET'!D61)/'BALANCE SHEET'!D45</f>
        <v>3.5045884818267216E-3</v>
      </c>
      <c r="E32" s="555">
        <f>('BALANCE SHEET'!E48+'BALANCE SHEET'!E61)/'BALANCE SHEET'!E45</f>
        <v>1.4458200480663356E-3</v>
      </c>
      <c r="F32" s="555">
        <f>('BALANCE SHEET'!F48+'BALANCE SHEET'!F61)/'BALANCE SHEET'!F45</f>
        <v>2.9709119892006009E-3</v>
      </c>
      <c r="G32" s="648">
        <f>('BALANCE SHEET'!G48+'BALANCE SHEET'!G61)/'BALANCE SHEET'!G45</f>
        <v>2.831145102801344E-3</v>
      </c>
      <c r="H32" s="647">
        <f>('BALANCE SHEET'!H48+'BALANCE SHEET'!H61)/'BALANCE SHEET'!H45</f>
        <v>2.9998974460303217E-3</v>
      </c>
      <c r="I32" s="555">
        <f>('BALANCE SHEET'!I48+'BALANCE SHEET'!I61)/'BALANCE SHEET'!I45</f>
        <v>3.0669091713628719E-3</v>
      </c>
      <c r="J32" s="555">
        <f>('BALANCE SHEET'!J48+'BALANCE SHEET'!J61)/'BALANCE SHEET'!J45</f>
        <v>2.9826208678667898E-3</v>
      </c>
      <c r="K32" s="555">
        <f>('BALANCE SHEET'!K48+'BALANCE SHEET'!K61)/'BALANCE SHEET'!K45</f>
        <v>2.8233330667320608E-3</v>
      </c>
      <c r="L32" s="648">
        <f>('BALANCE SHEET'!L48+'BALANCE SHEET'!L61)/'BALANCE SHEET'!L45</f>
        <v>2.6218246389758579E-3</v>
      </c>
    </row>
    <row r="33" spans="1:13" ht="15.75" customHeight="1" x14ac:dyDescent="0.3">
      <c r="B33" s="638" t="s">
        <v>1131</v>
      </c>
      <c r="C33" s="647">
        <f>('BALANCE SHEET'!C48+'BALANCE SHEET'!C61-'BALANCE SHEET'!C29-'BALANCE SHEET'!C30)/'INCOME STATEMENT'!C29</f>
        <v>-35.859695358913747</v>
      </c>
      <c r="D33" s="555">
        <f>('BALANCE SHEET'!D48+'BALANCE SHEET'!D61-'BALANCE SHEET'!D29-'BALANCE SHEET'!D30)/'INCOME STATEMENT'!D29</f>
        <v>-26.383321831147875</v>
      </c>
      <c r="E33" s="555">
        <f>('BALANCE SHEET'!E48+'BALANCE SHEET'!E61-'BALANCE SHEET'!E29-'BALANCE SHEET'!E30)/'INCOME STATEMENT'!E29</f>
        <v>-16.646252193532231</v>
      </c>
      <c r="F33" s="555">
        <f>('BALANCE SHEET'!F48+'BALANCE SHEET'!F61-'BALANCE SHEET'!F29-'BALANCE SHEET'!F30)/'INCOME STATEMENT'!F29</f>
        <v>-10.054533475960074</v>
      </c>
      <c r="G33" s="648">
        <f>('BALANCE SHEET'!G48+'BALANCE SHEET'!G61-'BALANCE SHEET'!G29-'BALANCE SHEET'!G30)/'INCOME STATEMENT'!G29</f>
        <v>-7.8296715565868267</v>
      </c>
      <c r="H33" s="647">
        <f>('BALANCE SHEET'!H48+'BALANCE SHEET'!H61-'BALANCE SHEET'!H29-'BALANCE SHEET'!H30)/'INCOME STATEMENT'!H29</f>
        <v>-3.675891064727935</v>
      </c>
      <c r="I33" s="555">
        <f>('BALANCE SHEET'!I48+'BALANCE SHEET'!I61-'BALANCE SHEET'!I29-'BALANCE SHEET'!I30)/'INCOME STATEMENT'!I29</f>
        <v>-5.9550380533290541</v>
      </c>
      <c r="J33" s="555">
        <f>('BALANCE SHEET'!J48+'BALANCE SHEET'!J61-'BALANCE SHEET'!J29-'BALANCE SHEET'!J30)/'INCOME STATEMENT'!J29</f>
        <v>-10.030189131924226</v>
      </c>
      <c r="K33" s="555">
        <f>('BALANCE SHEET'!K48+'BALANCE SHEET'!K61-'BALANCE SHEET'!K29-'BALANCE SHEET'!K30)/'INCOME STATEMENT'!K29</f>
        <v>-13.101029009375388</v>
      </c>
      <c r="L33" s="648">
        <f>('BALANCE SHEET'!L48+'BALANCE SHEET'!L61-'BALANCE SHEET'!L29-'BALANCE SHEET'!L30)/'INCOME STATEMENT'!L29</f>
        <v>-13.429917634691392</v>
      </c>
    </row>
    <row r="34" spans="1:13" ht="15.75" customHeight="1" x14ac:dyDescent="0.3">
      <c r="B34" s="638" t="s">
        <v>1132</v>
      </c>
      <c r="C34" s="647">
        <f>IF('INCOME STATEMENT'!C42=0,999,'INCOME STATEMENT'!C36/ABS('INCOME STATEMENT'!C42))</f>
        <v>19.643540669856392</v>
      </c>
      <c r="D34" s="555">
        <f>IF('INCOME STATEMENT'!D42=0,999,'INCOME STATEMENT'!D36/ABS('INCOME STATEMENT'!D42))</f>
        <v>50.305865921787813</v>
      </c>
      <c r="E34" s="555">
        <f>IF('INCOME STATEMENT'!E42=0,999,'INCOME STATEMENT'!E36/ABS('INCOME STATEMENT'!E42))</f>
        <v>113.37833594976442</v>
      </c>
      <c r="F34" s="555">
        <f>IF('INCOME STATEMENT'!F42=0,999,'INCOME STATEMENT'!F36/ABS('INCOME STATEMENT'!F42))</f>
        <v>259.46874999999989</v>
      </c>
      <c r="G34" s="648">
        <f>IF('INCOME STATEMENT'!G42=0,999,'INCOME STATEMENT'!G36/ABS('INCOME STATEMENT'!G42))</f>
        <v>442.00681818181835</v>
      </c>
      <c r="H34" s="647">
        <f>IF('INCOME STATEMENT'!H42=0,999,'INCOME STATEMENT'!H36/ABS('INCOME STATEMENT'!H42))</f>
        <v>311.39793208176263</v>
      </c>
      <c r="I34" s="555">
        <f>IF('INCOME STATEMENT'!I42=0,999,'INCOME STATEMENT'!I36/ABS('INCOME STATEMENT'!I42))</f>
        <v>432.43756970939421</v>
      </c>
      <c r="J34" s="555">
        <f>IF('INCOME STATEMENT'!J42=0,999,'INCOME STATEMENT'!J36/ABS('INCOME STATEMENT'!J42))</f>
        <v>483.60799252710467</v>
      </c>
      <c r="K34" s="555">
        <f>IF('INCOME STATEMENT'!K42=0,999,'INCOME STATEMENT'!K36/ABS('INCOME STATEMENT'!K42))</f>
        <v>511.34618773618359</v>
      </c>
      <c r="L34" s="648">
        <f>IF('INCOME STATEMENT'!L42=0,999,'INCOME STATEMENT'!L36/ABS('INCOME STATEMENT'!L42))</f>
        <v>615.86323247077985</v>
      </c>
    </row>
    <row r="35" spans="1:13" ht="15.75" customHeight="1" x14ac:dyDescent="0.3">
      <c r="B35" s="638" t="s">
        <v>1133</v>
      </c>
      <c r="C35" s="641">
        <f>('BALANCE SHEET'!C48+'BALANCE SHEET'!C61)/'BALANCE SHEET'!C38</f>
        <v>0</v>
      </c>
      <c r="D35" s="569">
        <f>('BALANCE SHEET'!D48+'BALANCE SHEET'!D61)/'BALANCE SHEET'!D38</f>
        <v>3.9816869764628938E-4</v>
      </c>
      <c r="E35" s="569">
        <f>('BALANCE SHEET'!E48+'BALANCE SHEET'!E61)/'BALANCE SHEET'!E38</f>
        <v>2.0913714653138769E-4</v>
      </c>
      <c r="F35" s="569">
        <f>('BALANCE SHEET'!F48+'BALANCE SHEET'!F61)/'BALANCE SHEET'!F38</f>
        <v>5.751316547597617E-4</v>
      </c>
      <c r="G35" s="640">
        <f>('BALANCE SHEET'!G48+'BALANCE SHEET'!G61)/'BALANCE SHEET'!G38</f>
        <v>7.2740465739347968E-4</v>
      </c>
      <c r="H35" s="641">
        <f>('BALANCE SHEET'!H48+'BALANCE SHEET'!H61)/'BALANCE SHEET'!H38</f>
        <v>1.1632148729853421E-3</v>
      </c>
      <c r="I35" s="569">
        <f>('BALANCE SHEET'!I48+'BALANCE SHEET'!I61)/'BALANCE SHEET'!I38</f>
        <v>1.0747525354636196E-3</v>
      </c>
      <c r="J35" s="569">
        <f>('BALANCE SHEET'!J48+'BALANCE SHEET'!J61)/'BALANCE SHEET'!J38</f>
        <v>8.9767914648625918E-4</v>
      </c>
      <c r="K35" s="569">
        <f>('BALANCE SHEET'!K48+'BALANCE SHEET'!K61)/'BALANCE SHEET'!K38</f>
        <v>8.0163540105378359E-4</v>
      </c>
      <c r="L35" s="640">
        <f>('BALANCE SHEET'!L48+'BALANCE SHEET'!L61)/'BALANCE SHEET'!L38</f>
        <v>7.6906282038024945E-4</v>
      </c>
    </row>
    <row r="36" spans="1:13" ht="15.75" customHeight="1" x14ac:dyDescent="0.3">
      <c r="A36" s="475"/>
      <c r="B36" s="658"/>
      <c r="C36" s="659"/>
      <c r="D36" s="475"/>
      <c r="E36" s="475"/>
      <c r="F36" s="475"/>
      <c r="G36" s="660"/>
      <c r="H36" s="659"/>
      <c r="I36" s="475"/>
      <c r="J36" s="475"/>
      <c r="K36" s="475"/>
      <c r="L36" s="660"/>
      <c r="M36" s="475"/>
    </row>
    <row r="37" spans="1:13" ht="16.5" customHeight="1" x14ac:dyDescent="0.3">
      <c r="B37" s="503" t="s">
        <v>1134</v>
      </c>
      <c r="C37" s="477"/>
      <c r="D37" s="477"/>
      <c r="E37" s="477"/>
      <c r="F37" s="477"/>
      <c r="G37" s="477"/>
      <c r="H37" s="477"/>
      <c r="I37" s="477"/>
      <c r="J37" s="477"/>
      <c r="K37" s="477"/>
      <c r="L37" s="477"/>
    </row>
    <row r="38" spans="1:13" ht="15.75" customHeight="1" x14ac:dyDescent="0.3">
      <c r="B38" s="634" t="s">
        <v>1135</v>
      </c>
      <c r="C38" s="661">
        <f>'INCOME STATEMENT'!C71</f>
        <v>12.738856661212738</v>
      </c>
      <c r="D38" s="568">
        <f>'INCOME STATEMENT'!D71</f>
        <v>15.143041301006512</v>
      </c>
      <c r="E38" s="568">
        <f>'INCOME STATEMENT'!E71</f>
        <v>27.741335713223243</v>
      </c>
      <c r="F38" s="568">
        <f>'INCOME STATEMENT'!F71</f>
        <v>48.018493727998404</v>
      </c>
      <c r="G38" s="662">
        <f>'INCOME STATEMENT'!G71</f>
        <v>59.832168178888395</v>
      </c>
      <c r="H38" s="661">
        <f>'INCOME STATEMENT'!H71</f>
        <v>49.979512412725164</v>
      </c>
      <c r="I38" s="568">
        <f>'INCOME STATEMENT'!I71</f>
        <v>60.980102075634136</v>
      </c>
      <c r="J38" s="568">
        <f>'INCOME STATEMENT'!J71</f>
        <v>79.391741399416006</v>
      </c>
      <c r="K38" s="568">
        <f>'INCOME STATEMENT'!K71</f>
        <v>97.528551126617813</v>
      </c>
      <c r="L38" s="662">
        <f>'INCOME STATEMENT'!L71</f>
        <v>120.31311782715326</v>
      </c>
    </row>
    <row r="39" spans="1:13" ht="15.75" customHeight="1" x14ac:dyDescent="0.3">
      <c r="B39" s="638" t="s">
        <v>1136</v>
      </c>
      <c r="C39" s="641">
        <f>'INCOME STATEMENT'!C73</f>
        <v>0</v>
      </c>
      <c r="D39" s="569">
        <f>'INCOME STATEMENT'!D73</f>
        <v>0.18872844743704786</v>
      </c>
      <c r="E39" s="569">
        <f>'INCOME STATEMENT'!E73</f>
        <v>0.83195272084342542</v>
      </c>
      <c r="F39" s="569">
        <f>'INCOME STATEMENT'!F73</f>
        <v>0.73093661474670113</v>
      </c>
      <c r="G39" s="640">
        <f>'INCOME STATEMENT'!G73</f>
        <v>0.24602342834426993</v>
      </c>
      <c r="H39" s="641">
        <f>'INCOME STATEMENT'!H73</f>
        <v>-0.1646715481997143</v>
      </c>
      <c r="I39" s="569">
        <f>'INCOME STATEMENT'!I73</f>
        <v>0.22010198042884754</v>
      </c>
      <c r="J39" s="569">
        <f>'INCOME STATEMENT'!J73</f>
        <v>0.30192864060715663</v>
      </c>
      <c r="K39" s="569">
        <f>'INCOME STATEMENT'!K73</f>
        <v>0.22844705768521179</v>
      </c>
      <c r="L39" s="640">
        <f>'INCOME STATEMENT'!L73</f>
        <v>0.23361945232791448</v>
      </c>
    </row>
    <row r="40" spans="1:13" ht="15.75" customHeight="1" x14ac:dyDescent="0.3">
      <c r="B40" s="638" t="s">
        <v>1137</v>
      </c>
      <c r="C40" s="663">
        <f>'FORECAST SCHEDULES'!C203/'INCOME STATEMENT'!C67</f>
        <v>0</v>
      </c>
      <c r="D40" s="664">
        <f>'FORECAST SCHEDULES'!D203/'INCOME STATEMENT'!D67</f>
        <v>0</v>
      </c>
      <c r="E40" s="664">
        <f>'FORECAST SCHEDULES'!E203/'INCOME STATEMENT'!E67</f>
        <v>0.81499999999999995</v>
      </c>
      <c r="F40" s="664">
        <f>'FORECAST SCHEDULES'!F203/'INCOME STATEMENT'!F67</f>
        <v>3.43</v>
      </c>
      <c r="G40" s="665">
        <f>'FORECAST SCHEDULES'!G203/'INCOME STATEMENT'!G67</f>
        <v>6.0549999999999997</v>
      </c>
      <c r="H40" s="663">
        <f>'FORECAST SCHEDULES'!H203/'INCOME STATEMENT'!H67</f>
        <v>1.355</v>
      </c>
      <c r="I40" s="664">
        <f>'FORECAST SCHEDULES'!I203/'INCOME STATEMENT'!I67</f>
        <v>5.9987239674565975</v>
      </c>
      <c r="J40" s="664">
        <f>'FORECAST SCHEDULES'!J203/'INCOME STATEMENT'!J67</f>
        <v>7.1385431533617201</v>
      </c>
      <c r="K40" s="664">
        <f>'FORECAST SCHEDULES'!K203/'INCOME STATEMENT'!K67</f>
        <v>8.8894204894792619</v>
      </c>
      <c r="L40" s="665">
        <f>'FORECAST SCHEDULES'!L203/'INCOME STATEMENT'!L67</f>
        <v>11.347649312204997</v>
      </c>
    </row>
    <row r="41" spans="1:13" ht="15.75" customHeight="1" x14ac:dyDescent="0.3">
      <c r="B41" s="638" t="s">
        <v>903</v>
      </c>
      <c r="C41" s="641">
        <f t="shared" ref="C41:L41" si="1">IF(C38=0,0,C40/C38)</f>
        <v>0</v>
      </c>
      <c r="D41" s="569">
        <f t="shared" si="1"/>
        <v>0</v>
      </c>
      <c r="E41" s="569">
        <f t="shared" si="1"/>
        <v>2.9378542130237814E-2</v>
      </c>
      <c r="F41" s="569">
        <f t="shared" si="1"/>
        <v>7.143081204148749E-2</v>
      </c>
      <c r="G41" s="640">
        <f t="shared" si="1"/>
        <v>0.10119974228405931</v>
      </c>
      <c r="H41" s="641">
        <f t="shared" si="1"/>
        <v>2.7111108824163052E-2</v>
      </c>
      <c r="I41" s="569">
        <f t="shared" si="1"/>
        <v>9.8371825616433525E-2</v>
      </c>
      <c r="J41" s="569">
        <f t="shared" si="1"/>
        <v>8.9915437393520009E-2</v>
      </c>
      <c r="K41" s="569">
        <f t="shared" si="1"/>
        <v>9.1146852760464442E-2</v>
      </c>
      <c r="L41" s="640">
        <f t="shared" si="1"/>
        <v>9.4317639814699941E-2</v>
      </c>
    </row>
    <row r="42" spans="1:13" ht="15.75" customHeight="1" x14ac:dyDescent="0.3">
      <c r="B42" s="638" t="s">
        <v>1138</v>
      </c>
      <c r="C42" s="663">
        <f>'BALANCE SHEET'!C45/'INCOME STATEMENT'!C67</f>
        <v>72.36501561802767</v>
      </c>
      <c r="D42" s="664">
        <f>'BALANCE SHEET'!D45/'INCOME STATEMENT'!D67</f>
        <v>82.338241856314141</v>
      </c>
      <c r="E42" s="664">
        <f>'BALANCE SHEET'!E45/'INCOME STATEMENT'!E67</f>
        <v>103.56388517031085</v>
      </c>
      <c r="F42" s="664">
        <f>'BALANCE SHEET'!F45/'INCOME STATEMENT'!F67</f>
        <v>138.10005453914422</v>
      </c>
      <c r="G42" s="665">
        <f>'BALANCE SHEET'!G45/'INCOME STATEMENT'!G67</f>
        <v>178.01675839159103</v>
      </c>
      <c r="H42" s="663">
        <f>'BALANCE SHEET'!H45/'INCOME STATEMENT'!H67</f>
        <v>217.58556954383178</v>
      </c>
      <c r="I42" s="664">
        <f>'BALANCE SHEET'!I45/'INCOME STATEMENT'!I67</f>
        <v>261.33069817718285</v>
      </c>
      <c r="J42" s="664">
        <f>'BALANCE SHEET'!J45/'INCOME STATEMENT'!J67</f>
        <v>318.58579340945403</v>
      </c>
      <c r="K42" s="664">
        <f>'BALANCE SHEET'!K45/'INCOME STATEMENT'!K67</f>
        <v>389.24339788632517</v>
      </c>
      <c r="L42" s="665">
        <f>'BALANCE SHEET'!L45/'INCOME STATEMENT'!L67</f>
        <v>475.89257433237742</v>
      </c>
    </row>
    <row r="43" spans="1:13" ht="15.75" customHeight="1" x14ac:dyDescent="0.3">
      <c r="B43" s="635"/>
      <c r="C43" s="636"/>
      <c r="D43" s="411"/>
      <c r="E43" s="411"/>
      <c r="F43" s="411"/>
      <c r="G43" s="637"/>
      <c r="H43" s="636"/>
      <c r="I43" s="411"/>
      <c r="J43" s="411"/>
      <c r="K43" s="411"/>
      <c r="L43" s="637"/>
    </row>
    <row r="44" spans="1:13" ht="16.5" customHeight="1" x14ac:dyDescent="0.3">
      <c r="B44" s="503" t="s">
        <v>1139</v>
      </c>
      <c r="C44" s="477"/>
      <c r="D44" s="477"/>
      <c r="E44" s="477"/>
      <c r="F44" s="477"/>
      <c r="G44" s="477"/>
      <c r="H44" s="477"/>
      <c r="I44" s="477"/>
      <c r="J44" s="477"/>
      <c r="K44" s="477"/>
      <c r="L44" s="477"/>
    </row>
    <row r="45" spans="1:13" ht="15.75" customHeight="1" x14ac:dyDescent="0.3">
      <c r="B45" s="634" t="s">
        <v>1140</v>
      </c>
      <c r="C45" s="642">
        <f>'ORDER BOOK SCHEDULE'!D10</f>
        <v>45874</v>
      </c>
      <c r="D45" s="511">
        <f>'ORDER BOOK SCHEDULE'!E10</f>
        <v>38755</v>
      </c>
      <c r="E45" s="511">
        <f>'ORDER BOOK SCHEDULE'!F10</f>
        <v>38561</v>
      </c>
      <c r="F45" s="511">
        <f>'ORDER BOOK SCHEDULE'!G10</f>
        <v>32260</v>
      </c>
      <c r="G45" s="643">
        <f>'ORDER BOOK SCHEDULE'!H10</f>
        <v>21867.826370211718</v>
      </c>
      <c r="H45" s="642">
        <f>'ORDER BOOK SCHEDULE'!I10</f>
        <v>83568.728765236374</v>
      </c>
      <c r="I45" s="511">
        <f>'ORDER BOOK SCHEDULE'!J10</f>
        <v>99097.190363115224</v>
      </c>
      <c r="J45" s="511">
        <f>'ORDER BOOK SCHEDULE'!K10</f>
        <v>107699.15464982475</v>
      </c>
      <c r="K45" s="511">
        <f>'ORDER BOOK SCHEDULE'!L10</f>
        <v>103805.27385009015</v>
      </c>
      <c r="L45" s="643">
        <f>'ORDER BOOK SCHEDULE'!M10</f>
        <v>0</v>
      </c>
    </row>
    <row r="46" spans="1:13" ht="15.75" customHeight="1" x14ac:dyDescent="0.3">
      <c r="B46" s="638" t="s">
        <v>1141</v>
      </c>
      <c r="C46" s="647">
        <f>'ORDER BOOK SCHEDULE'!D10/'INCOME STATEMENT'!C9</f>
        <v>11.333013819784478</v>
      </c>
      <c r="D46" s="555">
        <f>'ORDER BOOK SCHEDULE'!E10/'INCOME STATEMENT'!D9</f>
        <v>6.7596559037758484</v>
      </c>
      <c r="E46" s="555">
        <f>'ORDER BOOK SCHEDULE'!F10/'INCOME STATEMENT'!E9</f>
        <v>4.9265508139585394</v>
      </c>
      <c r="F46" s="555">
        <f>'ORDER BOOK SCHEDULE'!G10/'INCOME STATEMENT'!F9</f>
        <v>3.4077776768378865</v>
      </c>
      <c r="G46" s="648">
        <f>'ORDER BOOK SCHEDULE'!H10/'INCOME STATEMENT'!G9</f>
        <v>1.912881028335822</v>
      </c>
      <c r="H46" s="647">
        <f>'ORDER BOOK SCHEDULE'!I10/'INCOME STATEMENT'!H9</f>
        <v>6.5881550792040064</v>
      </c>
      <c r="I46" s="555">
        <f>'ORDER BOOK SCHEDULE'!J10/'INCOME STATEMENT'!I9</f>
        <v>7.2822346781002461</v>
      </c>
      <c r="J46" s="555">
        <f>'ORDER BOOK SCHEDULE'!K10/'INCOME STATEMENT'!J9</f>
        <v>7.3013155414369386</v>
      </c>
      <c r="K46" s="555">
        <f>'ORDER BOOK SCHEDULE'!L10/'INCOME STATEMENT'!K9</f>
        <v>6.2190232166550752</v>
      </c>
      <c r="L46" s="648">
        <f>'ORDER BOOK SCHEDULE'!M10/'INCOME STATEMENT'!L9</f>
        <v>0</v>
      </c>
    </row>
    <row r="47" spans="1:13" ht="15.75" customHeight="1" x14ac:dyDescent="0.3">
      <c r="B47" s="638" t="s">
        <v>1142</v>
      </c>
      <c r="C47" s="649">
        <f>'ORDER BOOK SCHEDULE'!D6</f>
        <v>1281</v>
      </c>
      <c r="D47" s="567">
        <f>'ORDER BOOK SCHEDULE'!E6</f>
        <v>465</v>
      </c>
      <c r="E47" s="567">
        <f>'ORDER BOOK SCHEDULE'!F6</f>
        <v>8874</v>
      </c>
      <c r="F47" s="567">
        <f>'ORDER BOOK SCHEDULE'!G6</f>
        <v>4895</v>
      </c>
      <c r="G47" s="650">
        <f>'ORDER BOOK SCHEDULE'!H6</f>
        <v>2000</v>
      </c>
      <c r="H47" s="649">
        <f>'ORDER BOOK SCHEDULE'!I6</f>
        <v>75000</v>
      </c>
      <c r="I47" s="567">
        <f>'ORDER BOOK SCHEDULE'!J6</f>
        <v>30000</v>
      </c>
      <c r="J47" s="567">
        <f>'ORDER BOOK SCHEDULE'!K6</f>
        <v>25000</v>
      </c>
      <c r="K47" s="567">
        <f>'ORDER BOOK SCHEDULE'!L6</f>
        <v>15000</v>
      </c>
      <c r="L47" s="650">
        <f>'ORDER BOOK SCHEDULE'!M6</f>
        <v>0</v>
      </c>
    </row>
    <row r="48" spans="1:13" ht="15.75" customHeight="1" x14ac:dyDescent="0.3">
      <c r="B48" s="638" t="s">
        <v>1143</v>
      </c>
      <c r="C48" s="649">
        <f>-'ORDER BOOK SCHEDULE'!D8</f>
        <v>0</v>
      </c>
      <c r="D48" s="567">
        <f>-'ORDER BOOK SCHEDULE'!E8</f>
        <v>0</v>
      </c>
      <c r="E48" s="567">
        <f>-'ORDER BOOK SCHEDULE'!F8</f>
        <v>0</v>
      </c>
      <c r="F48" s="567">
        <f>-'ORDER BOOK SCHEDULE'!G8</f>
        <v>0</v>
      </c>
      <c r="G48" s="650">
        <f>-'ORDER BOOK SCHEDULE'!H8</f>
        <v>0</v>
      </c>
      <c r="H48" s="649">
        <f>-'ORDER BOOK SCHEDULE'!I8</f>
        <v>0</v>
      </c>
      <c r="I48" s="567">
        <f>-'ORDER BOOK SCHEDULE'!J8</f>
        <v>0</v>
      </c>
      <c r="J48" s="567">
        <f>-'ORDER BOOK SCHEDULE'!K8</f>
        <v>0</v>
      </c>
      <c r="K48" s="567">
        <f>-'ORDER BOOK SCHEDULE'!L8</f>
        <v>0</v>
      </c>
      <c r="L48" s="650">
        <f>-'ORDER BOOK SCHEDULE'!M8</f>
        <v>0</v>
      </c>
    </row>
    <row r="49" spans="1:13" ht="15.75" customHeight="1" x14ac:dyDescent="0.3">
      <c r="A49" s="475"/>
      <c r="B49" s="638" t="s">
        <v>1144</v>
      </c>
      <c r="C49" s="647">
        <f>'ORDER BOOK SCHEDULE'!D10/'INCOME STATEMENT'!C9</f>
        <v>11.333013819784478</v>
      </c>
      <c r="D49" s="555">
        <f>'ORDER BOOK SCHEDULE'!E10/'INCOME STATEMENT'!D9</f>
        <v>6.7596559037758484</v>
      </c>
      <c r="E49" s="555">
        <f>'ORDER BOOK SCHEDULE'!F10/'INCOME STATEMENT'!E9</f>
        <v>4.9265508139585394</v>
      </c>
      <c r="F49" s="555">
        <f>'ORDER BOOK SCHEDULE'!G10/'INCOME STATEMENT'!F9</f>
        <v>3.4077776768378865</v>
      </c>
      <c r="G49" s="648">
        <f>'ORDER BOOK SCHEDULE'!H10/'INCOME STATEMENT'!G9</f>
        <v>1.912881028335822</v>
      </c>
      <c r="H49" s="647">
        <f>'ORDER BOOK SCHEDULE'!I10/'INCOME STATEMENT'!H9</f>
        <v>6.5881550792040064</v>
      </c>
      <c r="I49" s="555">
        <f>'ORDER BOOK SCHEDULE'!J10/'INCOME STATEMENT'!I9</f>
        <v>7.2822346781002461</v>
      </c>
      <c r="J49" s="555">
        <f>'ORDER BOOK SCHEDULE'!K10/'INCOME STATEMENT'!J9</f>
        <v>7.3013155414369386</v>
      </c>
      <c r="K49" s="555">
        <f>'ORDER BOOK SCHEDULE'!L10/'INCOME STATEMENT'!K9</f>
        <v>6.2190232166550752</v>
      </c>
      <c r="L49" s="648">
        <f>'ORDER BOOK SCHEDULE'!M10/'INCOME STATEMENT'!L9</f>
        <v>0</v>
      </c>
      <c r="M49" s="475"/>
    </row>
    <row r="50" spans="1:13" ht="15.75" customHeight="1" x14ac:dyDescent="0.3">
      <c r="B50" s="635"/>
      <c r="C50" s="636"/>
      <c r="D50" s="411"/>
      <c r="E50" s="411"/>
      <c r="F50" s="411"/>
      <c r="G50" s="637"/>
      <c r="H50" s="636"/>
      <c r="I50" s="411"/>
      <c r="J50" s="411"/>
      <c r="K50" s="411"/>
      <c r="L50" s="637"/>
    </row>
    <row r="51" spans="1:13" ht="15.75" customHeight="1" x14ac:dyDescent="0.3">
      <c r="B51" s="635"/>
      <c r="C51" s="636"/>
      <c r="D51" s="411"/>
      <c r="E51" s="411"/>
      <c r="F51" s="411"/>
      <c r="G51" s="637"/>
      <c r="H51" s="636"/>
      <c r="I51" s="411"/>
      <c r="J51" s="411"/>
      <c r="K51" s="411"/>
      <c r="L51" s="637"/>
    </row>
    <row r="52" spans="1:13" ht="15.75" customHeight="1" x14ac:dyDescent="0.3">
      <c r="B52" s="635"/>
      <c r="C52" s="636"/>
      <c r="D52" s="411"/>
      <c r="E52" s="411"/>
      <c r="F52" s="411"/>
      <c r="G52" s="637"/>
      <c r="H52" s="636"/>
      <c r="I52" s="411"/>
      <c r="J52" s="411"/>
      <c r="K52" s="411"/>
      <c r="L52" s="637"/>
    </row>
    <row r="53" spans="1:13" ht="15.75" customHeight="1" x14ac:dyDescent="0.3">
      <c r="B53" s="635"/>
      <c r="C53" s="636"/>
      <c r="D53" s="411"/>
      <c r="E53" s="411"/>
      <c r="F53" s="411"/>
      <c r="G53" s="637"/>
      <c r="H53" s="636"/>
      <c r="I53" s="411"/>
      <c r="J53" s="411"/>
      <c r="K53" s="411"/>
      <c r="L53" s="637"/>
    </row>
    <row r="54" spans="1:13" ht="15.75" customHeight="1" x14ac:dyDescent="0.3">
      <c r="B54" s="635"/>
      <c r="C54" s="636"/>
      <c r="D54" s="411"/>
      <c r="E54" s="411"/>
      <c r="F54" s="411"/>
      <c r="G54" s="637"/>
      <c r="H54" s="636"/>
      <c r="I54" s="411"/>
      <c r="J54" s="411"/>
      <c r="K54" s="411"/>
      <c r="L54" s="637"/>
    </row>
    <row r="55" spans="1:13" ht="15.75" customHeight="1" x14ac:dyDescent="0.3">
      <c r="B55" s="666"/>
      <c r="C55" s="636"/>
      <c r="D55" s="411"/>
      <c r="E55" s="411"/>
      <c r="F55" s="411"/>
      <c r="G55" s="637"/>
      <c r="H55" s="636"/>
      <c r="I55" s="411"/>
      <c r="J55" s="411"/>
      <c r="K55" s="411"/>
      <c r="L55" s="637"/>
    </row>
    <row r="56" spans="1:13" ht="15.75" customHeight="1" x14ac:dyDescent="0.3"/>
    <row r="57" spans="1:13" ht="15.75" customHeight="1" x14ac:dyDescent="0.3"/>
    <row r="58" spans="1:13" ht="15.75" customHeight="1" x14ac:dyDescent="0.3"/>
    <row r="59" spans="1:13" ht="15.75" customHeight="1" x14ac:dyDescent="0.3"/>
    <row r="60" spans="1:13" ht="14.25" customHeight="1" x14ac:dyDescent="0.3"/>
    <row r="61" spans="1:13" ht="14.25" customHeight="1" x14ac:dyDescent="0.3"/>
    <row r="62" spans="1:13" ht="14.25" customHeight="1" x14ac:dyDescent="0.3"/>
    <row r="63" spans="1:13" ht="14.25" customHeight="1" x14ac:dyDescent="0.3"/>
    <row r="64" spans="1:1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FORMATTING</vt:lpstr>
      <vt:lpstr>INCOME STATEMENT</vt:lpstr>
      <vt:lpstr>BALANCE SHEET</vt:lpstr>
      <vt:lpstr>CASH FLOW STATEMENT </vt:lpstr>
      <vt:lpstr>FORECAST SCHEDULES</vt:lpstr>
      <vt:lpstr>ASSUMPTIONS AND REASONING</vt:lpstr>
      <vt:lpstr>ORDER BOOK SCHEDULE</vt:lpstr>
      <vt:lpstr>FREE CASH FLOW</vt:lpstr>
      <vt:lpstr>WACC</vt:lpstr>
      <vt:lpstr>DCF</vt:lpstr>
      <vt:lpstr>DDM</vt:lpstr>
      <vt:lpstr>CCA</vt:lpstr>
      <vt:lpstr>SENSITIVITY ANALYSIS</vt:lpstr>
      <vt:lpstr>FINAL VALUATION</vt:lpstr>
      <vt:lpstr>KEY 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 Iyer</cp:lastModifiedBy>
  <cp:revision>0</cp:revision>
  <dcterms:created xsi:type="dcterms:W3CDTF">2026-05-16T13:51:02Z</dcterms:created>
  <dcterms:modified xsi:type="dcterms:W3CDTF">2026-05-21T12:16:41Z</dcterms:modified>
  <dc:language>en-US</dc:language>
</cp:coreProperties>
</file>